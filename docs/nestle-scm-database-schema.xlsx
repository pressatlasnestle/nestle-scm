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Tables" sheetId="2" state="visible" r:id="rId4"/>
    <sheet name="Columns" sheetId="3" state="visible" r:id="rId5"/>
    <sheet name="Constraints" sheetId="4" state="visible" r:id="rId6"/>
    <sheet name="Indexes" sheetId="5" state="visible" r:id="rId7"/>
    <sheet name="RLS Policies" sheetId="6" state="visible" r:id="rId8"/>
    <sheet name="Routines" sheetId="7" state="visible" r:id="rId9"/>
    <sheet name="Value Domains" sheetId="8" state="visible" r:id="rId10"/>
    <sheet name="Scheduling" sheetId="9" state="visible" r:id="rId11"/>
  </sheets>
  <definedNames>
    <definedName function="false" hidden="true" localSheetId="2" name="_xlnm._FilterDatabase" vbProcedure="false">Columns!$A$4:$E$185</definedName>
    <definedName function="false" hidden="true" localSheetId="3" name="_xlnm._FilterDatabase" vbProcedure="false">Constraints!$A$4:$D$62</definedName>
    <definedName function="false" hidden="true" localSheetId="4" name="_xlnm._FilterDatabase" vbProcedure="false">Indexes!$A$4:$E$45</definedName>
    <definedName function="false" hidden="true" localSheetId="5" name="_xlnm._FilterDatabase" vbProcedure="false">'RLS Policies'!$A$4:$E$39</definedName>
    <definedName function="false" hidden="true" localSheetId="6" name="_xlnm._FilterDatabase" vbProcedure="false">Routines!$A$4:$E$18</definedName>
    <definedName function="false" hidden="true" localSheetId="8" name="_xlnm._FilterDatabase" vbProcedure="false">Scheduling!$A$4:$E$6</definedName>
    <definedName function="false" hidden="true" localSheetId="1" name="_xlnm._FilterDatabase" vbProcedure="false">Tables!$A$4:$E$22</definedName>
    <definedName function="false" hidden="true" localSheetId="7" name="_xlnm._FilterDatabase" vbProcedure="false">'Value Domains'!$A$4:$D$20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<sst xmlns="http://schemas.openxmlformats.org/spreadsheetml/2006/main" count="1498" uniqueCount="527">
  <si>
    <t xml:space="preserve">Nestlé SCM Media Monitor — Database Schema Reference</t>
  </si>
  <si>
    <t xml:space="preserve">Supabase project wbxxtreznqdawzhzbstk  ·  schema: public  ·  read from the live PostgreSQL catalogue, 16 August 2026</t>
  </si>
  <si>
    <t xml:space="preserve">Repository</t>
  </si>
  <si>
    <t xml:space="preserve">pressatlasnestle/nestle-scm</t>
  </si>
  <si>
    <t xml:space="preserve">Application</t>
  </si>
  <si>
    <t xml:space="preserve">https://nestle-scm.vercel.app</t>
  </si>
  <si>
    <t xml:space="preserve">Commit at time of export</t>
  </si>
  <si>
    <t xml:space="preserve">2d2af6c</t>
  </si>
  <si>
    <t xml:space="preserve">Tables</t>
  </si>
  <si>
    <t xml:space="preserve">Views</t>
  </si>
  <si>
    <t xml:space="preserve">Columns</t>
  </si>
  <si>
    <t xml:space="preserve">Constraints</t>
  </si>
  <si>
    <t xml:space="preserve">Indexes</t>
  </si>
  <si>
    <t xml:space="preserve">RLS policies</t>
  </si>
  <si>
    <t xml:space="preserve">Functions</t>
  </si>
  <si>
    <t xml:space="preserve">Triggers</t>
  </si>
  <si>
    <t xml:space="preserve">Scheduled jobs</t>
  </si>
  <si>
    <t xml:space="preserve">Sheets</t>
  </si>
  <si>
    <t xml:space="preserve">Every table and view, with column and policy counts and what it holds</t>
  </si>
  <si>
    <t xml:space="preserve">Every column: type, nullability, default</t>
  </si>
  <si>
    <t xml:space="preserve">Primary keys, unique constraints, foreign keys and check constraints</t>
  </si>
  <si>
    <t xml:space="preserve">All indexes, flagged where unique or partial</t>
  </si>
  <si>
    <t xml:space="preserve">RLS Policies</t>
  </si>
  <si>
    <t xml:space="preserve">Row-level security. All 35 policies and the expressions they resolve through</t>
  </si>
  <si>
    <t xml:space="preserve">Routines</t>
  </si>
  <si>
    <t xml:space="preserve">Functions and triggers, with SECURITY DEFINER / INVOKER marked</t>
  </si>
  <si>
    <t xml:space="preserve">Value Domains</t>
  </si>
  <si>
    <t xml:space="preserve">Permitted values per column, and whether enforced by constraint or application</t>
  </si>
  <si>
    <t xml:space="preserve">Scheduling</t>
  </si>
  <si>
    <t xml:space="preserve">pg_cron jobs</t>
  </si>
  <si>
    <t xml:space="preserve">Note: RLS is enabled on all 17 tables. Every policy is scoped to the authenticated role and resolves through one of four SECURITY DEFINER helper functions — see Routines.</t>
  </si>
  <si>
    <t xml:space="preserve">Tables and views</t>
  </si>
  <si>
    <t xml:space="preserve">RLS enabled on all 17 tables.</t>
  </si>
  <si>
    <t xml:space="preserve">Table / view</t>
  </si>
  <si>
    <t xml:space="preserve">Kind</t>
  </si>
  <si>
    <t xml:space="preserve">Policies</t>
  </si>
  <si>
    <t xml:space="preserve">Purpose</t>
  </si>
  <si>
    <t xml:space="preserve">app_settings</t>
  </si>
  <si>
    <t xml:space="preserve">table</t>
  </si>
  <si>
    <t xml:space="preserve">Key-value application configuration (base URL, per-stage model ids, universe mode)</t>
  </si>
  <si>
    <t xml:space="preserve">articles</t>
  </si>
  <si>
    <t xml:space="preserve">The corpus. One row per captured article, carrying capture, screening and coding state</t>
  </si>
  <si>
    <t xml:space="preserve">audit_log</t>
  </si>
  <si>
    <t xml:space="preserve">Append-only record of curator actions. Insert restricted to the acting user</t>
  </si>
  <si>
    <t xml:space="preserve">ingestion_runs</t>
  </si>
  <si>
    <t xml:space="preserve">One row per ingestion run, with status and per-outcome counters</t>
  </si>
  <si>
    <t xml:space="preserve">integration_secrets</t>
  </si>
  <si>
    <t xml:space="preserve">Vault references and per-provider model ids. Never stores a key value</t>
  </si>
  <si>
    <t xml:space="preserve">keywords</t>
  </si>
  <si>
    <t xml:space="preserve">Two-gate capture taxonomy plus exclusion terms</t>
  </si>
  <si>
    <t xml:space="preserve">newsletter_editions</t>
  </si>
  <si>
    <t xml:space="preserve">One row per ISO week. Frozen by trigger once sent</t>
  </si>
  <si>
    <t xml:space="preserve">operational_congestion</t>
  </si>
  <si>
    <t xml:space="preserve">Daily global and regional port congestion, hand-entered</t>
  </si>
  <si>
    <t xml:space="preserve">operational_fleet_status</t>
  </si>
  <si>
    <t xml:space="preserve">Daily fleet status by category, hand-entered</t>
  </si>
  <si>
    <t xml:space="preserve">operational_port_congestion</t>
  </si>
  <si>
    <t xml:space="preserve">Daily per-port congestion for tracked ports, hand-entered</t>
  </si>
  <si>
    <t xml:space="preserve">operational_schedule_reliability</t>
  </si>
  <si>
    <t xml:space="preserve">Monthly schedule reliability with GLP issue number, hand-entered</t>
  </si>
  <si>
    <t xml:space="preserve">ports</t>
  </si>
  <si>
    <t xml:space="preserve">Controlled port vocabulary. 180 rows. Referenced by FK from port congestion</t>
  </si>
  <si>
    <t xml:space="preserve">profiles</t>
  </si>
  <si>
    <t xml:space="preserve">Application users. Keyed to auth.users. Holds the role that drives all RLS</t>
  </si>
  <si>
    <t xml:space="preserve">report_recipients</t>
  </si>
  <si>
    <t xml:space="preserve">Distribution list</t>
  </si>
  <si>
    <t xml:space="preserve">reports</t>
  </si>
  <si>
    <t xml:space="preserve">Holds analysis_narrative read by the Analysis panel. Digest columns dormant</t>
  </si>
  <si>
    <t xml:space="preserve">sources</t>
  </si>
  <si>
    <t xml:space="preserve">Feed and exclusion registry. list_type and is_fetchable govern independently</t>
  </si>
  <si>
    <t xml:space="preserve">themes</t>
  </si>
  <si>
    <t xml:space="preserve">Closed coding vocabulary. 11 active rows</t>
  </si>
  <si>
    <t xml:space="preserve">integration_secrets_status</t>
  </si>
  <si>
    <t xml:space="preserve">view</t>
  </si>
  <si>
    <t xml:space="preserve">View over integration_secrets exposing status without the vault reference</t>
  </si>
  <si>
    <t xml:space="preserve">Types as reported by information_schema. A leading underscore denotes an array type (_text = text[]).</t>
  </si>
  <si>
    <t xml:space="preserve">Table</t>
  </si>
  <si>
    <t xml:space="preserve">Column</t>
  </si>
  <si>
    <t xml:space="preserve">Type</t>
  </si>
  <si>
    <t xml:space="preserve">Null</t>
  </si>
  <si>
    <t xml:space="preserve">Default</t>
  </si>
  <si>
    <t xml:space="preserve">key</t>
  </si>
  <si>
    <t xml:space="preserve">text</t>
  </si>
  <si>
    <t xml:space="preserve">NOT NULL</t>
  </si>
  <si>
    <t xml:space="preserve">value</t>
  </si>
  <si>
    <t xml:space="preserve">jsonb</t>
  </si>
  <si>
    <t xml:space="preserve">updated_by</t>
  </si>
  <si>
    <t xml:space="preserve">uuid</t>
  </si>
  <si>
    <t xml:space="preserve">updated_at</t>
  </si>
  <si>
    <t xml:space="preserve">timestamp with time zone</t>
  </si>
  <si>
    <t xml:space="preserve">now()</t>
  </si>
  <si>
    <t xml:space="preserve">id</t>
  </si>
  <si>
    <t xml:space="preserve">gen_random_uuid()</t>
  </si>
  <si>
    <t xml:space="preserve">dedup_key</t>
  </si>
  <si>
    <t xml:space="preserve">url</t>
  </si>
  <si>
    <t xml:space="preserve">alt_urls</t>
  </si>
  <si>
    <t xml:space="preserve">_text</t>
  </si>
  <si>
    <t xml:space="preserve">'{}'::text[]</t>
  </si>
  <si>
    <t xml:space="preserve">headline</t>
  </si>
  <si>
    <t xml:space="preserve">byline</t>
  </si>
  <si>
    <t xml:space="preserve">media</t>
  </si>
  <si>
    <t xml:space="preserve">source_id</t>
  </si>
  <si>
    <t xml:space="preserve">published_at</t>
  </si>
  <si>
    <t xml:space="preserve">date</t>
  </si>
  <si>
    <t xml:space="preserve">body</t>
  </si>
  <si>
    <t xml:space="preserve">word_count</t>
  </si>
  <si>
    <t xml:space="preserve">integer</t>
  </si>
  <si>
    <t xml:space="preserve">ingested_at</t>
  </si>
  <si>
    <t xml:space="preserve">status</t>
  </si>
  <si>
    <t xml:space="preserve">'active'::text</t>
  </si>
  <si>
    <t xml:space="preserve">status_changed_by</t>
  </si>
  <si>
    <t xml:space="preserve">status_changed_at</t>
  </si>
  <si>
    <t xml:space="preserve">ai_summary</t>
  </si>
  <si>
    <t xml:space="preserve">ai_sentiment</t>
  </si>
  <si>
    <t xml:space="preserve">ai_relevance_score</t>
  </si>
  <si>
    <t xml:space="preserve">numeric</t>
  </si>
  <si>
    <t xml:space="preserve">ai_category</t>
  </si>
  <si>
    <t xml:space="preserve">ai_tags</t>
  </si>
  <si>
    <t xml:space="preserve">matched_keywords</t>
  </si>
  <si>
    <t xml:space="preserve">body_purged_at</t>
  </si>
  <si>
    <t xml:space="preserve">matched_negative_keywords</t>
  </si>
  <si>
    <t xml:space="preserve">keyword_mention_count</t>
  </si>
  <si>
    <t xml:space="preserve">source_channel</t>
  </si>
  <si>
    <t xml:space="preserve">ai_sorting_status</t>
  </si>
  <si>
    <t xml:space="preserve">'pending'::text</t>
  </si>
  <si>
    <t xml:space="preserve">ai_sorting_flagged</t>
  </si>
  <si>
    <t xml:space="preserve">boolean</t>
  </si>
  <si>
    <t xml:space="preserve">false</t>
  </si>
  <si>
    <t xml:space="preserve">ai_sorting_reasoning</t>
  </si>
  <si>
    <t xml:space="preserve">coded_status</t>
  </si>
  <si>
    <t xml:space="preserve">ai_themes</t>
  </si>
  <si>
    <t xml:space="preserve">impact_rationale</t>
  </si>
  <si>
    <t xml:space="preserve">coding_version</t>
  </si>
  <si>
    <t xml:space="preserve">impact_kind</t>
  </si>
  <si>
    <t xml:space="preserve">actor_id</t>
  </si>
  <si>
    <t xml:space="preserve">action</t>
  </si>
  <si>
    <t xml:space="preserve">target_type</t>
  </si>
  <si>
    <t xml:space="preserve">target_id</t>
  </si>
  <si>
    <t xml:space="preserve">metadata</t>
  </si>
  <si>
    <t xml:space="preserve">created_at</t>
  </si>
  <si>
    <t xml:space="preserve">run_type</t>
  </si>
  <si>
    <t xml:space="preserve">window_start</t>
  </si>
  <si>
    <t xml:space="preserve">window_end</t>
  </si>
  <si>
    <t xml:space="preserve">started_at</t>
  </si>
  <si>
    <t xml:space="preserve">completed_at</t>
  </si>
  <si>
    <t xml:space="preserve">'running'::text</t>
  </si>
  <si>
    <t xml:space="preserve">sources_checked</t>
  </si>
  <si>
    <t xml:space="preserve">articles_found</t>
  </si>
  <si>
    <t xml:space="preserve">articles_new</t>
  </si>
  <si>
    <t xml:space="preserve">articles_duplicate</t>
  </si>
  <si>
    <t xml:space="preserve">articles_skipped_paywall</t>
  </si>
  <si>
    <t xml:space="preserve">errors</t>
  </si>
  <si>
    <t xml:space="preserve">triggered_by</t>
  </si>
  <si>
    <t xml:space="preserve">articles_suppressed_exclusion</t>
  </si>
  <si>
    <t xml:space="preserve">0</t>
  </si>
  <si>
    <t xml:space="preserve">articles_skipped_coded</t>
  </si>
  <si>
    <t xml:space="preserve">sources_not_fetched</t>
  </si>
  <si>
    <t xml:space="preserve">provider</t>
  </si>
  <si>
    <t xml:space="preserve">vault_secret_id</t>
  </si>
  <si>
    <t xml:space="preserve">is_set</t>
  </si>
  <si>
    <t xml:space="preserve">last_four</t>
  </si>
  <si>
    <t xml:space="preserve">model_id</t>
  </si>
  <si>
    <t xml:space="preserve">keyword</t>
  </si>
  <si>
    <t xml:space="preserve">is_active</t>
  </si>
  <si>
    <t xml:space="preserve">true</t>
  </si>
  <si>
    <t xml:space="preserve">added_by</t>
  </si>
  <si>
    <t xml:space="preserve">list_type</t>
  </si>
  <si>
    <t xml:space="preserve">'positive'::text</t>
  </si>
  <si>
    <t xml:space="preserve">gate</t>
  </si>
  <si>
    <t xml:space="preserve">cluster</t>
  </si>
  <si>
    <t xml:space="preserve">match_type</t>
  </si>
  <si>
    <t xml:space="preserve">notes</t>
  </si>
  <si>
    <t xml:space="preserve">variations</t>
  </si>
  <si>
    <t xml:space="preserve">week_of</t>
  </si>
  <si>
    <t xml:space="preserve">'draft'::text</t>
  </si>
  <si>
    <t xml:space="preserve">included_article_ids</t>
  </si>
  <si>
    <t xml:space="preserve">_uuid</t>
  </si>
  <si>
    <t xml:space="preserve">snapshot</t>
  </si>
  <si>
    <t xml:space="preserve">sent_at</t>
  </si>
  <si>
    <t xml:space="preserve">sent_by</t>
  </si>
  <si>
    <t xml:space="preserve">entered_by</t>
  </si>
  <si>
    <t xml:space="preserve">entered_at</t>
  </si>
  <si>
    <t xml:space="preserve">sections</t>
  </si>
  <si>
    <t xml:space="preserve">'[]'::jsonb</t>
  </si>
  <si>
    <t xml:space="preserve">day_of</t>
  </si>
  <si>
    <t xml:space="preserve">global_teu_waiting</t>
  </si>
  <si>
    <t xml:space="preserve">global_pct_fleet</t>
  </si>
  <si>
    <t xml:space="preserve">region_data</t>
  </si>
  <si>
    <t xml:space="preserve">status_data</t>
  </si>
  <si>
    <t xml:space="preserve">port_name</t>
  </si>
  <si>
    <t xml:space="preserve">ships_anchorage</t>
  </si>
  <si>
    <t xml:space="preserve">ships_port</t>
  </si>
  <si>
    <t xml:space="preserve">teu_anchorage</t>
  </si>
  <si>
    <t xml:space="preserve">teu_port</t>
  </si>
  <si>
    <t xml:space="preserve">queue_berth_ratio</t>
  </si>
  <si>
    <t xml:space="preserve">month_of</t>
  </si>
  <si>
    <t xml:space="preserve">glp_issue_number</t>
  </si>
  <si>
    <t xml:space="preserve">global_reliability_pct</t>
  </si>
  <si>
    <t xml:space="preserve">avg_delay_days</t>
  </si>
  <si>
    <t xml:space="preserve">alliance_data</t>
  </si>
  <si>
    <t xml:space="preserve">name</t>
  </si>
  <si>
    <t xml:space="preserve">email</t>
  </si>
  <si>
    <t xml:space="preserve">full_name</t>
  </si>
  <si>
    <t xml:space="preserve">role</t>
  </si>
  <si>
    <t xml:space="preserve">'read'::text</t>
  </si>
  <si>
    <t xml:space="preserve">invited_by</t>
  </si>
  <si>
    <t xml:space="preserve">generated_at</t>
  </si>
  <si>
    <t xml:space="preserve">recipient_count</t>
  </si>
  <si>
    <t xml:space="preserve">article_count</t>
  </si>
  <si>
    <t xml:space="preserve">stats_snapshot</t>
  </si>
  <si>
    <t xml:space="preserve">html_content</t>
  </si>
  <si>
    <t xml:space="preserve">created_by</t>
  </si>
  <si>
    <t xml:space="preserve">analysis_narrative</t>
  </si>
  <si>
    <t xml:space="preserve">analysis_generated_at</t>
  </si>
  <si>
    <t xml:space="preserve">analysis_generated_by</t>
  </si>
  <si>
    <t xml:space="preserve">rss_url</t>
  </si>
  <si>
    <t xml:space="preserve">website_domain</t>
  </si>
  <si>
    <t xml:space="preserve">category</t>
  </si>
  <si>
    <t xml:space="preserve">last_fetched_at</t>
  </si>
  <si>
    <t xml:space="preserve">last_fetch_status</t>
  </si>
  <si>
    <t xml:space="preserve">last_fetch_error</t>
  </si>
  <si>
    <t xml:space="preserve">tier</t>
  </si>
  <si>
    <t xml:space="preserve">priority</t>
  </si>
  <si>
    <t xml:space="preserve">content_type</t>
  </si>
  <si>
    <t xml:space="preserve">region</t>
  </si>
  <si>
    <t xml:space="preserve">handling_notes</t>
  </si>
  <si>
    <t xml:space="preserve">is_fetchable</t>
  </si>
  <si>
    <t xml:space="preserve">description</t>
  </si>
  <si>
    <t xml:space="preserve">Every operational numeric column is deliberately unconstrained — the system records published figures, including ones that look wrong.</t>
  </si>
  <si>
    <t xml:space="preserve">Name</t>
  </si>
  <si>
    <t xml:space="preserve">Definition</t>
  </si>
  <si>
    <t xml:space="preserve">PK</t>
  </si>
  <si>
    <t xml:space="preserve">app_settings_pkey</t>
  </si>
  <si>
    <t xml:space="preserve">PRIMARY KEY (key)</t>
  </si>
  <si>
    <t xml:space="preserve">FK</t>
  </si>
  <si>
    <t xml:space="preserve">app_settings_updated_by_fkey</t>
  </si>
  <si>
    <t xml:space="preserve">FOREIGN KEY (updated_by) REFERENCES profiles(id) ON DELETE SET NULL</t>
  </si>
  <si>
    <t xml:space="preserve">articles_pkey</t>
  </si>
  <si>
    <t xml:space="preserve">PRIMARY KEY (id)</t>
  </si>
  <si>
    <t xml:space="preserve">CHECK</t>
  </si>
  <si>
    <t xml:space="preserve">articles_impact_kind_check</t>
  </si>
  <si>
    <t xml:space="preserve">impact_kind = ANY (ARRAY['specific','market_wide','none'])</t>
  </si>
  <si>
    <t xml:space="preserve">articles_status_check</t>
  </si>
  <si>
    <t xml:space="preserve">status = ANY (ARRAY['active','excluded','deleted'])</t>
  </si>
  <si>
    <t xml:space="preserve">articles_source_id_fkey</t>
  </si>
  <si>
    <t xml:space="preserve">FOREIGN KEY (source_id) REFERENCES sources(id) ON DELETE SET NULL</t>
  </si>
  <si>
    <t xml:space="preserve">articles_status_changed_by_fkey</t>
  </si>
  <si>
    <t xml:space="preserve">FOREIGN KEY (status_changed_by) REFERENCES profiles(id) ON DELETE SET NULL</t>
  </si>
  <si>
    <t xml:space="preserve">audit_log_pkey</t>
  </si>
  <si>
    <t xml:space="preserve">audit_log_actor_id_fkey</t>
  </si>
  <si>
    <t xml:space="preserve">FOREIGN KEY (actor_id) REFERENCES profiles(id) ON DELETE SET NULL</t>
  </si>
  <si>
    <t xml:space="preserve">ingestion_runs_pkey</t>
  </si>
  <si>
    <t xml:space="preserve">ingestion_runs_status_check</t>
  </si>
  <si>
    <t xml:space="preserve">status = ANY (ARRAY['running','ok','partial_failure','failed'])</t>
  </si>
  <si>
    <t xml:space="preserve">ingestion_runs_run_type_check</t>
  </si>
  <si>
    <t xml:space="preserve">run_type = ANY (ARRAY['backfill','scheduled','manual','source_added','google_news_sweep','newsapi_ai_sweep','newsdata_sweep'])</t>
  </si>
  <si>
    <t xml:space="preserve">ingestion_runs_triggered_by_fkey</t>
  </si>
  <si>
    <t xml:space="preserve">FOREIGN KEY (triggered_by) REFERENCES profiles(id) ON DELETE SET NULL</t>
  </si>
  <si>
    <t xml:space="preserve">integration_secrets_pkey</t>
  </si>
  <si>
    <t xml:space="preserve">UNIQUE</t>
  </si>
  <si>
    <t xml:space="preserve">integration_secrets_provider_key</t>
  </si>
  <si>
    <t xml:space="preserve">UNIQUE (provider)</t>
  </si>
  <si>
    <t xml:space="preserve">integration_secrets_updated_by_fkey</t>
  </si>
  <si>
    <t xml:space="preserve">keywords_pkey</t>
  </si>
  <si>
    <t xml:space="preserve">keywords_keyword_key</t>
  </si>
  <si>
    <t xml:space="preserve">UNIQUE (keyword)</t>
  </si>
  <si>
    <t xml:space="preserve">keywords_added_by_fkey</t>
  </si>
  <si>
    <t xml:space="preserve">FOREIGN KEY (added_by) REFERENCES profiles(id) ON DELETE SET NULL</t>
  </si>
  <si>
    <t xml:space="preserve">newsletter_editions_pkey</t>
  </si>
  <si>
    <t xml:space="preserve">newsletter_editions_week_of_key</t>
  </si>
  <si>
    <t xml:space="preserve">UNIQUE (week_of)</t>
  </si>
  <si>
    <t xml:space="preserve">newsletter_editions_status_check</t>
  </si>
  <si>
    <t xml:space="preserve">status = ANY (ARRAY['draft','sent'])</t>
  </si>
  <si>
    <t xml:space="preserve">newsletter_editions_entered_by_fkey</t>
  </si>
  <si>
    <t xml:space="preserve">FOREIGN KEY (entered_by) REFERENCES profiles(id) ON DELETE SET NULL</t>
  </si>
  <si>
    <t xml:space="preserve">newsletter_editions_sent_by_fkey</t>
  </si>
  <si>
    <t xml:space="preserve">FOREIGN KEY (sent_by) REFERENCES profiles(id) ON DELETE SET NULL</t>
  </si>
  <si>
    <t xml:space="preserve">operational_congestion_pkey</t>
  </si>
  <si>
    <t xml:space="preserve">operational_congestion_day_of_key</t>
  </si>
  <si>
    <t xml:space="preserve">UNIQUE (day_of)</t>
  </si>
  <si>
    <t xml:space="preserve">operational_congestion_entered_by_fkey</t>
  </si>
  <si>
    <t xml:space="preserve">operational_fleet_status_pkey</t>
  </si>
  <si>
    <t xml:space="preserve">operational_fleet_status_day_of_key</t>
  </si>
  <si>
    <t xml:space="preserve">operational_fleet_status_entered_by_fkey</t>
  </si>
  <si>
    <t xml:space="preserve">operational_port_congestion_pkey</t>
  </si>
  <si>
    <t xml:space="preserve">operational_port_congestion_day_port_key</t>
  </si>
  <si>
    <t xml:space="preserve">UNIQUE (day_of, port_name)</t>
  </si>
  <si>
    <t xml:space="preserve">operational_port_congestion_port_name_fkey</t>
  </si>
  <si>
    <t xml:space="preserve">FOREIGN KEY (port_name) REFERENCES ports(name) ON UPDATE CASCADE</t>
  </si>
  <si>
    <t xml:space="preserve">operational_port_congestion_entered_by_fkey</t>
  </si>
  <si>
    <t xml:space="preserve">operational_schedule_reliability_pkey</t>
  </si>
  <si>
    <t xml:space="preserve">operational_schedule_reliability_month_of_key</t>
  </si>
  <si>
    <t xml:space="preserve">UNIQUE (month_of)</t>
  </si>
  <si>
    <t xml:space="preserve">operational_schedule_reliability_entered_by_fkey</t>
  </si>
  <si>
    <t xml:space="preserve">ports_pkey</t>
  </si>
  <si>
    <t xml:space="preserve">ports_name_key</t>
  </si>
  <si>
    <t xml:space="preserve">UNIQUE (name)</t>
  </si>
  <si>
    <t xml:space="preserve">ports_added_by_fkey</t>
  </si>
  <si>
    <t xml:space="preserve">profiles_pkey</t>
  </si>
  <si>
    <t xml:space="preserve">profiles_role_check</t>
  </si>
  <si>
    <t xml:space="preserve">role = ANY (ARRAY['read','curate','admin'])</t>
  </si>
  <si>
    <t xml:space="preserve">profiles_id_fkey</t>
  </si>
  <si>
    <t xml:space="preserve">FOREIGN KEY (id) REFERENCES auth.users(id) ON DELETE CASCADE</t>
  </si>
  <si>
    <t xml:space="preserve">profiles_invited_by_fkey</t>
  </si>
  <si>
    <t xml:space="preserve">FOREIGN KEY (invited_by) REFERENCES profiles(id) ON DELETE SET NULL</t>
  </si>
  <si>
    <t xml:space="preserve">report_recipients_pkey</t>
  </si>
  <si>
    <t xml:space="preserve">report_recipients_added_by_fkey</t>
  </si>
  <si>
    <t xml:space="preserve">reports_pkey</t>
  </si>
  <si>
    <t xml:space="preserve">reports_week_of_key</t>
  </si>
  <si>
    <t xml:space="preserve">reports_status_check</t>
  </si>
  <si>
    <t xml:space="preserve">status = ANY (ARRAY['draft','sent','failed'])</t>
  </si>
  <si>
    <t xml:space="preserve">reports_created_by_fkey</t>
  </si>
  <si>
    <t xml:space="preserve">FOREIGN KEY (created_by) REFERENCES profiles(id) ON DELETE SET NULL</t>
  </si>
  <si>
    <t xml:space="preserve">reports_analysis_generated_by_fkey</t>
  </si>
  <si>
    <t xml:space="preserve">FOREIGN KEY (analysis_generated_by) REFERENCES profiles(id) ON DELETE SET NULL</t>
  </si>
  <si>
    <t xml:space="preserve">sources_pkey</t>
  </si>
  <si>
    <t xml:space="preserve">sources_list_type_check</t>
  </si>
  <si>
    <t xml:space="preserve">list_type = ANY (ARRAY['positive','negative'])</t>
  </si>
  <si>
    <t xml:space="preserve">sources_last_fetch_status_check</t>
  </si>
  <si>
    <t xml:space="preserve">last_fetch_status = ANY (ARRAY['ok','error','no_new_items'])</t>
  </si>
  <si>
    <t xml:space="preserve">sources_added_by_fkey</t>
  </si>
  <si>
    <t xml:space="preserve">themes_pkey</t>
  </si>
  <si>
    <t xml:space="preserve">themes_name_key</t>
  </si>
  <si>
    <t xml:space="preserve">themes_added_by_fkey</t>
  </si>
  <si>
    <t xml:space="preserve">Partial indexes are used for work queues only. Unique constraints use plain unique indexes, never partial ones — PostgREST ON CONFLICT requires a nameable arbiter.</t>
  </si>
  <si>
    <t xml:space="preserve">Index</t>
  </si>
  <si>
    <t xml:space="preserve">Unique</t>
  </si>
  <si>
    <t xml:space="preserve">Partial</t>
  </si>
  <si>
    <t xml:space="preserve">Yes</t>
  </si>
  <si>
    <t xml:space="preserve">CREATE UNIQUE INDEX app_settings_pkey ON public.app_settings USING btree (key)</t>
  </si>
  <si>
    <t xml:space="preserve">articles_coding_pending_idx</t>
  </si>
  <si>
    <t xml:space="preserve">CREATE INDEX articles_coding_pending_idx ON public.articles USING btree (published_at) WHERE (coded_status = 'pending'::text)</t>
  </si>
  <si>
    <t xml:space="preserve">articles_coding_version_idx</t>
  </si>
  <si>
    <t xml:space="preserve">CREATE INDEX articles_coding_version_idx ON public.articles USING btree (coding_version) WHERE (coded_status = 'coded'::text)</t>
  </si>
  <si>
    <t xml:space="preserve">articles_dedup_key_uidx</t>
  </si>
  <si>
    <t xml:space="preserve">CREATE UNIQUE INDEX articles_dedup_key_uidx ON public.articles USING btree (dedup_key)</t>
  </si>
  <si>
    <t xml:space="preserve">articles_media_idx</t>
  </si>
  <si>
    <t xml:space="preserve">CREATE INDEX articles_media_idx ON public.articles USING btree (media)</t>
  </si>
  <si>
    <t xml:space="preserve">CREATE UNIQUE INDEX articles_pkey ON public.articles USING btree (id)</t>
  </si>
  <si>
    <t xml:space="preserve">articles_published_at_idx</t>
  </si>
  <si>
    <t xml:space="preserve">CREATE INDEX articles_published_at_idx ON public.articles USING btree (published_at)</t>
  </si>
  <si>
    <t xml:space="preserve">articles_relevance_idx</t>
  </si>
  <si>
    <t xml:space="preserve">CREATE INDEX articles_relevance_idx ON public.articles USING btree (ai_relevance_score DESC NULLS LAST) WHERE ((coded_status = 'coded'::text) AND (status = 'active'::text))</t>
  </si>
  <si>
    <t xml:space="preserve">articles_sorting_pending_idx</t>
  </si>
  <si>
    <t xml:space="preserve">CREATE INDEX articles_sorting_pending_idx ON public.articles USING btree (ingested_at) WHERE (ai_sorting_status = 'pending'::text)</t>
  </si>
  <si>
    <t xml:space="preserve">articles_source_channel_idx</t>
  </si>
  <si>
    <t xml:space="preserve">CREATE INDEX articles_source_channel_idx ON public.articles USING btree (source_channel)</t>
  </si>
  <si>
    <t xml:space="preserve">articles_status_idx</t>
  </si>
  <si>
    <t xml:space="preserve">CREATE INDEX articles_status_idx ON public.articles USING btree (status)</t>
  </si>
  <si>
    <t xml:space="preserve">CREATE UNIQUE INDEX audit_log_pkey ON public.audit_log USING btree (id)</t>
  </si>
  <si>
    <t xml:space="preserve">CREATE UNIQUE INDEX ingestion_runs_pkey ON public.ingestion_runs USING btree (id)</t>
  </si>
  <si>
    <t xml:space="preserve">ingestion_runs_started_at_idx</t>
  </si>
  <si>
    <t xml:space="preserve">CREATE INDEX ingestion_runs_started_at_idx ON public.ingestion_runs USING btree (started_at)</t>
  </si>
  <si>
    <t xml:space="preserve">CREATE UNIQUE INDEX integration_secrets_pkey ON public.integration_secrets USING btree (id)</t>
  </si>
  <si>
    <t xml:space="preserve">CREATE UNIQUE INDEX integration_secrets_provider_key ON public.integration_secrets USING btree (provider)</t>
  </si>
  <si>
    <t xml:space="preserve">CREATE UNIQUE INDEX keywords_keyword_key ON public.keywords USING btree (keyword)</t>
  </si>
  <si>
    <t xml:space="preserve">CREATE UNIQUE INDEX keywords_pkey ON public.keywords USING btree (id)</t>
  </si>
  <si>
    <t xml:space="preserve">CREATE UNIQUE INDEX newsletter_editions_pkey ON public.newsletter_editions USING btree (id)</t>
  </si>
  <si>
    <t xml:space="preserve">CREATE UNIQUE INDEX newsletter_editions_week_of_key ON public.newsletter_editions USING btree (week_of)</t>
  </si>
  <si>
    <t xml:space="preserve">CREATE UNIQUE INDEX operational_congestion_day_of_key ON public.operational_congestion USING btree (day_of)</t>
  </si>
  <si>
    <t xml:space="preserve">CREATE UNIQUE INDEX operational_congestion_pkey ON public.operational_congestion USING btree (id)</t>
  </si>
  <si>
    <t xml:space="preserve">CREATE UNIQUE INDEX operational_fleet_status_day_of_key ON public.operational_fleet_status USING btree (day_of)</t>
  </si>
  <si>
    <t xml:space="preserve">CREATE UNIQUE INDEX operational_fleet_status_pkey ON public.operational_fleet_status USING btree (id)</t>
  </si>
  <si>
    <t xml:space="preserve">operational_port_congestion_day_idx</t>
  </si>
  <si>
    <t xml:space="preserve">CREATE INDEX operational_port_congestion_day_idx ON public.operational_port_congestion USING btree (day_of)</t>
  </si>
  <si>
    <t xml:space="preserve">CREATE UNIQUE INDEX operational_port_congestion_day_port_key ON public.operational_port_congestion USING btree (day_of, port_name)</t>
  </si>
  <si>
    <t xml:space="preserve">CREATE UNIQUE INDEX operational_port_congestion_pkey ON public.operational_port_congestion USING btree (id)</t>
  </si>
  <si>
    <t xml:space="preserve">CREATE UNIQUE INDEX operational_schedule_reliability_month_of_key ON public.operational_schedule_reliability USING btree (month_of)</t>
  </si>
  <si>
    <t xml:space="preserve">CREATE UNIQUE INDEX operational_schedule_reliability_pkey ON public.operational_schedule_reliability USING btree (id)</t>
  </si>
  <si>
    <t xml:space="preserve">CREATE UNIQUE INDEX ports_name_key ON public.ports USING btree (name)</t>
  </si>
  <si>
    <t xml:space="preserve">CREATE UNIQUE INDEX ports_pkey ON public.ports USING btree (id)</t>
  </si>
  <si>
    <t xml:space="preserve">CREATE UNIQUE INDEX profiles_pkey ON public.profiles USING btree (id)</t>
  </si>
  <si>
    <t xml:space="preserve">CREATE UNIQUE INDEX report_recipients_pkey ON public.report_recipients USING btree (id)</t>
  </si>
  <si>
    <t xml:space="preserve">CREATE UNIQUE INDEX reports_pkey ON public.reports USING btree (id)</t>
  </si>
  <si>
    <t xml:space="preserve">reports_week_of_idx</t>
  </si>
  <si>
    <t xml:space="preserve">CREATE INDEX reports_week_of_idx ON public.reports USING btree (week_of)</t>
  </si>
  <si>
    <t xml:space="preserve">CREATE UNIQUE INDEX reports_week_of_key ON public.reports USING btree (week_of)</t>
  </si>
  <si>
    <t xml:space="preserve">sources_is_active_idx</t>
  </si>
  <si>
    <t xml:space="preserve">CREATE INDEX sources_is_active_idx ON public.sources USING btree (is_active)</t>
  </si>
  <si>
    <t xml:space="preserve">sources_list_type_idx</t>
  </si>
  <si>
    <t xml:space="preserve">CREATE INDEX sources_list_type_idx ON public.sources USING btree (list_type)</t>
  </si>
  <si>
    <t xml:space="preserve">CREATE UNIQUE INDEX sources_pkey ON public.sources USING btree (id)</t>
  </si>
  <si>
    <t xml:space="preserve">CREATE UNIQUE INDEX themes_name_key ON public.themes USING btree (name)</t>
  </si>
  <si>
    <t xml:space="preserve">CREATE UNIQUE INDEX themes_pkey ON public.themes USING btree (id)</t>
  </si>
  <si>
    <t xml:space="preserve">Row-level security policies</t>
  </si>
  <si>
    <t xml:space="preserve">All policies apply to the authenticated role. Reference tables are admin-write; working tables are curate-write; every table is readable by any app user.</t>
  </si>
  <si>
    <t xml:space="preserve">Policy</t>
  </si>
  <si>
    <t xml:space="preserve">Command</t>
  </si>
  <si>
    <t xml:space="preserve">USING</t>
  </si>
  <si>
    <t xml:space="preserve">WITH CHECK</t>
  </si>
  <si>
    <t xml:space="preserve">app_settings_admin_write</t>
  </si>
  <si>
    <t xml:space="preserve">ALL</t>
  </si>
  <si>
    <t xml:space="preserve">is_admin()</t>
  </si>
  <si>
    <t xml:space="preserve">app_settings_select_app_users</t>
  </si>
  <si>
    <t xml:space="preserve">SELECT</t>
  </si>
  <si>
    <t xml:space="preserve">is_app_user()</t>
  </si>
  <si>
    <t xml:space="preserve">articles_curate_update</t>
  </si>
  <si>
    <t xml:space="preserve">UPDATE</t>
  </si>
  <si>
    <t xml:space="preserve">can_curate()</t>
  </si>
  <si>
    <t xml:space="preserve">articles_select_app_users</t>
  </si>
  <si>
    <t xml:space="preserve">audit_log_admin_select</t>
  </si>
  <si>
    <t xml:space="preserve">audit_log_curate_insert</t>
  </si>
  <si>
    <t xml:space="preserve">INSERT</t>
  </si>
  <si>
    <t xml:space="preserve">can_curate() AND actor_id = auth.uid()</t>
  </si>
  <si>
    <t xml:space="preserve">ingestion_runs_select_app_users</t>
  </si>
  <si>
    <t xml:space="preserve">integration_secrets_select_curate</t>
  </si>
  <si>
    <t xml:space="preserve">integration_secrets_update_admin</t>
  </si>
  <si>
    <t xml:space="preserve">keywords_admin_write</t>
  </si>
  <si>
    <t xml:space="preserve">keywords_select_app_users</t>
  </si>
  <si>
    <t xml:space="preserve">newsletter_editions_curate_write</t>
  </si>
  <si>
    <t xml:space="preserve">newsletter_editions_select_app_users</t>
  </si>
  <si>
    <t xml:space="preserve">operational_congestion_curate_write</t>
  </si>
  <si>
    <t xml:space="preserve">operational_congestion_select_app_users</t>
  </si>
  <si>
    <t xml:space="preserve">operational_fleet_status_curate_write</t>
  </si>
  <si>
    <t xml:space="preserve">operational_fleet_status_select_app_users</t>
  </si>
  <si>
    <t xml:space="preserve">operational_port_congestion_curate_write</t>
  </si>
  <si>
    <t xml:space="preserve">operational_port_congestion_select_app_users</t>
  </si>
  <si>
    <t xml:space="preserve">operational_schedule_reliability_curate_write</t>
  </si>
  <si>
    <t xml:space="preserve">operational_schedule_reliability_select_app_users</t>
  </si>
  <si>
    <t xml:space="preserve">ports_admin_write</t>
  </si>
  <si>
    <t xml:space="preserve">ports_select_app_users</t>
  </si>
  <si>
    <t xml:space="preserve">profiles_admin_delete</t>
  </si>
  <si>
    <t xml:space="preserve">DELETE</t>
  </si>
  <si>
    <t xml:space="preserve">profiles_admin_insert</t>
  </si>
  <si>
    <t xml:space="preserve">profiles_admin_update</t>
  </si>
  <si>
    <t xml:space="preserve">profiles_select_app_users</t>
  </si>
  <si>
    <t xml:space="preserve">profiles_update_self</t>
  </si>
  <si>
    <t xml:space="preserve">id = auth.uid()</t>
  </si>
  <si>
    <t xml:space="preserve">id = auth.uid() AND role = current_app_role() AND is_active = true</t>
  </si>
  <si>
    <t xml:space="preserve">report_recipients_admin_write</t>
  </si>
  <si>
    <t xml:space="preserve">report_recipients_select_app_users</t>
  </si>
  <si>
    <t xml:space="preserve">reports_select_app_users</t>
  </si>
  <si>
    <t xml:space="preserve">sources_admin_write</t>
  </si>
  <si>
    <t xml:space="preserve">sources_select_app_users</t>
  </si>
  <si>
    <t xml:space="preserve">themes_admin_write</t>
  </si>
  <si>
    <t xml:space="preserve">themes_select_app_users</t>
  </si>
  <si>
    <t xml:space="preserve">SECURITY DEFINER functions run with the owner's rights. apply_operational_upload is deliberately INVOKER so RLS still applies to a bulk upload.</t>
  </si>
  <si>
    <t xml:space="preserve">Function</t>
  </si>
  <si>
    <t xml:space="preserve">Arguments</t>
  </si>
  <si>
    <t xml:space="preserve">Returns</t>
  </si>
  <si>
    <t xml:space="preserve">Security</t>
  </si>
  <si>
    <t xml:space="preserve">apply_operational_upload</t>
  </si>
  <si>
    <t xml:space="preserve">p_payload jsonb</t>
  </si>
  <si>
    <t xml:space="preserve">INVOKER</t>
  </si>
  <si>
    <t xml:space="preserve">Atomic multi-table write for the operational CSV upload. INVOKER so RLS still applies</t>
  </si>
  <si>
    <t xml:space="preserve">can_curate</t>
  </si>
  <si>
    <t xml:space="preserve">DEFINER</t>
  </si>
  <si>
    <t xml:space="preserve">current_app_role() in ('curate','admin')</t>
  </si>
  <si>
    <t xml:space="preserve">current_app_role</t>
  </si>
  <si>
    <t xml:space="preserve">role from profiles where id = auth.uid() and is_active = true</t>
  </si>
  <si>
    <t xml:space="preserve">get_integration_secret</t>
  </si>
  <si>
    <t xml:space="preserve">p_provider text</t>
  </si>
  <si>
    <t xml:space="preserve">Decrypts a provider key via vault.decrypted_secrets</t>
  </si>
  <si>
    <t xml:space="preserve">handle_new_user</t>
  </si>
  <si>
    <t xml:space="preserve">trigger</t>
  </si>
  <si>
    <t xml:space="preserve">Creates a profiles row at role 'read' for a new auth user</t>
  </si>
  <si>
    <t xml:space="preserve">integration_secrets_audit_model_change</t>
  </si>
  <si>
    <t xml:space="preserve">Writes an audit_log row when model_id changes</t>
  </si>
  <si>
    <t xml:space="preserve">integration_secrets_set_updated</t>
  </si>
  <si>
    <t xml:space="preserve">Stamps updated_by and updated_at</t>
  </si>
  <si>
    <t xml:space="preserve">is_admin</t>
  </si>
  <si>
    <t xml:space="preserve">current_app_role() = 'admin'</t>
  </si>
  <si>
    <t xml:space="preserve">is_app_user</t>
  </si>
  <si>
    <t xml:space="preserve">current_app_role() is not null</t>
  </si>
  <si>
    <t xml:space="preserve">newsletter_edition_frozen</t>
  </si>
  <si>
    <t xml:space="preserve">Raises on UPDATE or DELETE of a row whose status is 'sent'</t>
  </si>
  <si>
    <t xml:space="preserve">rls_auto_enable</t>
  </si>
  <si>
    <t xml:space="preserve">event_trigger</t>
  </si>
  <si>
    <t xml:space="preserve">Enables RLS automatically on any newly created table</t>
  </si>
  <si>
    <t xml:space="preserve">set_integration_secret</t>
  </si>
  <si>
    <t xml:space="preserve">p_provider text, p_secret_value text</t>
  </si>
  <si>
    <t xml:space="preserve">void</t>
  </si>
  <si>
    <t xml:space="preserve">Stores a key in Vault and records the reference</t>
  </si>
  <si>
    <t xml:space="preserve">trigger_ingestion</t>
  </si>
  <si>
    <t xml:space="preserve">p_run_type text</t>
  </si>
  <si>
    <t xml:space="preserve">Reads app_base_url and a Vault secret, POSTs to the ingestion route</t>
  </si>
  <si>
    <t xml:space="preserve">trigger_sorting</t>
  </si>
  <si>
    <t xml:space="preserve">Reads app_base_url and a Vault secret, POSTs to the sorting route</t>
  </si>
  <si>
    <t xml:space="preserve">Trigger</t>
  </si>
  <si>
    <t xml:space="preserve">Timing / event</t>
  </si>
  <si>
    <t xml:space="preserve">integration_secrets_set_updated_biu</t>
  </si>
  <si>
    <t xml:space="preserve">BEFORE UPDATE</t>
  </si>
  <si>
    <t xml:space="preserve">integration_secrets_audit_model_change_aiu</t>
  </si>
  <si>
    <t xml:space="preserve">AFTER UPDATE</t>
  </si>
  <si>
    <t xml:space="preserve">newsletter_editions_frozen</t>
  </si>
  <si>
    <t xml:space="preserve">BEFORE DELETE / UPDATE</t>
  </si>
  <si>
    <t xml:space="preserve">Value domains</t>
  </si>
  <si>
    <t xml:space="preserve">Where enforcement is 'Application', the database will accept any text — the constraint lives in code and is not guaranteed by the schema.</t>
  </si>
  <si>
    <t xml:space="preserve">Permitted values</t>
  </si>
  <si>
    <t xml:space="preserve">Enforced by</t>
  </si>
  <si>
    <t xml:space="preserve">active / excluded / deleted</t>
  </si>
  <si>
    <t xml:space="preserve">CHECK constraint</t>
  </si>
  <si>
    <t xml:space="preserve">specific / market_wide / none</t>
  </si>
  <si>
    <t xml:space="preserve">Very unfavourable / Unfavourable / Neutral / Favourable / Very favourable</t>
  </si>
  <si>
    <t xml:space="preserve">Application (coding.ts)</t>
  </si>
  <si>
    <t xml:space="preserve">pending / complete</t>
  </si>
  <si>
    <t xml:space="preserve">Application default 'pending'</t>
  </si>
  <si>
    <t xml:space="preserve">pending / coded</t>
  </si>
  <si>
    <t xml:space="preserve">1 / 2 / 3</t>
  </si>
  <si>
    <t xml:space="preserve">Application (coding.ts CODING_VERSION)</t>
  </si>
  <si>
    <t xml:space="preserve">media_rss / google_alerts / google_news_seed / newsapi_ai / newsdata</t>
  </si>
  <si>
    <t xml:space="preserve">Application (dedup.ts)</t>
  </si>
  <si>
    <t xml:space="preserve">read / curate / admin</t>
  </si>
  <si>
    <t xml:space="preserve">positive / negative</t>
  </si>
  <si>
    <t xml:space="preserve">ok / error / no_new_items</t>
  </si>
  <si>
    <t xml:space="preserve">Application default 'positive'</t>
  </si>
  <si>
    <t xml:space="preserve">Gate 1 - Domain anchor (REQUIRED) / Gate 2 - Topic / Exclusion</t>
  </si>
  <si>
    <t xml:space="preserve">Application (match.ts)</t>
  </si>
  <si>
    <t xml:space="preserve">running / ok / partial_failure / failed</t>
  </si>
  <si>
    <t xml:space="preserve">backfill / scheduled / manual / source_added / google_news_sweep / newsapi_ai_sweep / newsdata_sweep</t>
  </si>
  <si>
    <t xml:space="preserve">draft / sent</t>
  </si>
  <si>
    <t xml:space="preserve">draft / sent / failed</t>
  </si>
  <si>
    <t xml:space="preserve">Scheduled jobs (pg_cron)</t>
  </si>
  <si>
    <t xml:space="preserve">Both functions read app_base_url from app_settings and a shared secret from Vault, then POST to the application. Coding has no schedule and is started by a user.</t>
  </si>
  <si>
    <t xml:space="preserve">Job id</t>
  </si>
  <si>
    <t xml:space="preserve">Job name</t>
  </si>
  <si>
    <t xml:space="preserve">Schedule (UTC)</t>
  </si>
  <si>
    <t xml:space="preserve">State</t>
  </si>
  <si>
    <t xml:space="preserve">1</t>
  </si>
  <si>
    <t xml:space="preserve">scm-ingestion-scheduled</t>
  </si>
  <si>
    <t xml:space="preserve">0 */12 * * *</t>
  </si>
  <si>
    <t xml:space="preserve">Active</t>
  </si>
  <si>
    <t xml:space="preserve">select public.trigger_ingestion('scheduled')</t>
  </si>
  <si>
    <t xml:space="preserve">3</t>
  </si>
  <si>
    <t xml:space="preserve">scm-sorting-pending</t>
  </si>
  <si>
    <t xml:space="preserve">30 * * * *</t>
  </si>
  <si>
    <t xml:space="preserve">select public.trigger_sorting()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</si>
</sst>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color rgb="FF2E5496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6FB"/>
      </patternFill>
    </fill>
    <fill>
      <patternFill patternType="solid">
        <fgColor rgb="FF1F3864"/>
        <bgColor rgb="FF333333"/>
      </patternFill>
    </fill>
    <fill>
      <patternFill patternType="solid">
        <fgColor rgb="FFF2F6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6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s">
        <v>3</v>
      </c>
    </row>
    <row r="5" customFormat="false" ht="15" hidden="false" customHeight="false" outlineLevel="0" collapsed="false">
      <c r="A5" s="3" t="s">
        <v>4</v>
      </c>
      <c r="B5" s="4" t="s">
        <v>5</v>
      </c>
    </row>
    <row r="6" customFormat="false" ht="15" hidden="false" customHeight="false" outlineLevel="0" collapsed="false">
      <c r="A6" s="3" t="s">
        <v>6</v>
      </c>
      <c r="B6" s="4" t="s">
        <v>7</v>
      </c>
    </row>
    <row r="7" customFormat="false" ht="15" hidden="false" customHeight="false" outlineLevel="0" collapsed="false">
      <c r="A7" s="3" t="s">
        <v>8</v>
      </c>
      <c r="B7" s="5" t="n">
        <f aca="false">COUNTIF(Tables!B5:B100,"table")</f>
        <v>17</v>
      </c>
    </row>
    <row r="8" customFormat="false" ht="15" hidden="false" customHeight="false" outlineLevel="0" collapsed="false">
      <c r="A8" s="3" t="s">
        <v>9</v>
      </c>
      <c r="B8" s="5" t="n">
        <f aca="false">COUNTIF(Tables!B5:B100,"view")</f>
        <v>1</v>
      </c>
    </row>
    <row r="9" customFormat="false" ht="15" hidden="false" customHeight="false" outlineLevel="0" collapsed="false">
      <c r="A9" s="3" t="s">
        <v>10</v>
      </c>
      <c r="B9" s="5" t="n">
        <f aca="false">COUNTA(Columns!B5:B400)</f>
        <v>181</v>
      </c>
    </row>
    <row r="10" customFormat="false" ht="15" hidden="false" customHeight="false" outlineLevel="0" collapsed="false">
      <c r="A10" s="3" t="s">
        <v>11</v>
      </c>
      <c r="B10" s="5" t="n">
        <f aca="false">COUNTA(Constraints!B5:B300)</f>
        <v>58</v>
      </c>
    </row>
    <row r="11" customFormat="false" ht="15" hidden="false" customHeight="false" outlineLevel="0" collapsed="false">
      <c r="A11" s="3" t="s">
        <v>12</v>
      </c>
      <c r="B11" s="5" t="n">
        <f aca="false">COUNTA(Indexes!B5:B300)</f>
        <v>41</v>
      </c>
    </row>
    <row r="12" customFormat="false" ht="15" hidden="false" customHeight="false" outlineLevel="0" collapsed="false">
      <c r="A12" s="3" t="s">
        <v>13</v>
      </c>
      <c r="B12" s="5" t="n">
        <f aca="false">COUNTA('RLS Policies'!B5:B300)</f>
        <v>35</v>
      </c>
    </row>
    <row r="13" customFormat="false" ht="15" hidden="false" customHeight="false" outlineLevel="0" collapsed="false">
      <c r="A13" s="3" t="s">
        <v>14</v>
      </c>
      <c r="B13" s="5" t="n">
        <f aca="false">COUNTA(Routines!A5:A18)</f>
        <v>14</v>
      </c>
    </row>
    <row r="14" customFormat="false" ht="15" hidden="false" customHeight="false" outlineLevel="0" collapsed="false">
      <c r="A14" s="3" t="s">
        <v>15</v>
      </c>
      <c r="B14" s="5" t="n">
        <f aca="false">COUNTA(Routines!A23:A25)</f>
        <v>3</v>
      </c>
    </row>
    <row r="15" customFormat="false" ht="15" hidden="false" customHeight="false" outlineLevel="0" collapsed="false">
      <c r="A15" s="3" t="s">
        <v>16</v>
      </c>
      <c r="B15" s="5" t="n">
        <f aca="false">COUNTA(Scheduling!A5:A50)</f>
        <v>2</v>
      </c>
    </row>
    <row r="17" customFormat="false" ht="15" hidden="false" customHeight="false" outlineLevel="0" collapsed="false">
      <c r="A17" s="6" t="s">
        <v>17</v>
      </c>
    </row>
    <row r="18" customFormat="false" ht="15" hidden="false" customHeight="false" outlineLevel="0" collapsed="false">
      <c r="A18" s="7" t="s">
        <v>8</v>
      </c>
      <c r="B18" s="4" t="s">
        <v>18</v>
      </c>
    </row>
    <row r="19" customFormat="false" ht="15" hidden="false" customHeight="false" outlineLevel="0" collapsed="false">
      <c r="A19" s="7" t="s">
        <v>10</v>
      </c>
      <c r="B19" s="4" t="s">
        <v>19</v>
      </c>
    </row>
    <row r="20" customFormat="false" ht="15" hidden="false" customHeight="false" outlineLevel="0" collapsed="false">
      <c r="A20" s="7" t="s">
        <v>11</v>
      </c>
      <c r="B20" s="4" t="s">
        <v>20</v>
      </c>
    </row>
    <row r="21" customFormat="false" ht="15" hidden="false" customHeight="false" outlineLevel="0" collapsed="false">
      <c r="A21" s="7" t="s">
        <v>12</v>
      </c>
      <c r="B21" s="4" t="s">
        <v>21</v>
      </c>
    </row>
    <row r="22" customFormat="false" ht="15" hidden="false" customHeight="false" outlineLevel="0" collapsed="false">
      <c r="A22" s="7" t="s">
        <v>22</v>
      </c>
      <c r="B22" s="4" t="s">
        <v>23</v>
      </c>
    </row>
    <row r="23" customFormat="false" ht="15" hidden="false" customHeight="false" outlineLevel="0" collapsed="false">
      <c r="A23" s="7" t="s">
        <v>24</v>
      </c>
      <c r="B23" s="4" t="s">
        <v>25</v>
      </c>
    </row>
    <row r="24" customFormat="false" ht="15" hidden="false" customHeight="false" outlineLevel="0" collapsed="false">
      <c r="A24" s="7" t="s">
        <v>26</v>
      </c>
      <c r="B24" s="4" t="s">
        <v>27</v>
      </c>
    </row>
    <row r="25" customFormat="false" ht="15" hidden="false" customHeight="false" outlineLevel="0" collapsed="false">
      <c r="A25" s="7" t="s">
        <v>28</v>
      </c>
      <c r="B25" s="4" t="s">
        <v>29</v>
      </c>
    </row>
    <row r="28" customFormat="false" ht="15" hidden="false" customHeight="false" outlineLevel="0" collapsed="false">
      <c r="A28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8"/>
    <col collapsed="false" customWidth="true" hidden="false" outlineLevel="0" max="4" min="3" style="0" width="9"/>
    <col collapsed="false" customWidth="true" hidden="false" outlineLevel="0" max="5" min="5" style="0" width="78"/>
  </cols>
  <sheetData>
    <row r="1" customFormat="false" ht="17.35" hidden="false" customHeight="false" outlineLevel="0" collapsed="false">
      <c r="A1" s="8" t="s">
        <v>31</v>
      </c>
    </row>
    <row r="2" customFormat="false" ht="15" hidden="false" customHeight="false" outlineLevel="0" collapsed="false">
      <c r="A2" s="2" t="s">
        <v>32</v>
      </c>
    </row>
    <row r="4" customFormat="false" ht="25.5" hidden="false" customHeight="true" outlineLevel="0" collapsed="false">
      <c r="A4" s="9" t="s">
        <v>33</v>
      </c>
      <c r="B4" s="9" t="s">
        <v>34</v>
      </c>
      <c r="C4" s="9" t="s">
        <v>10</v>
      </c>
      <c r="D4" s="9" t="s">
        <v>35</v>
      </c>
      <c r="E4" s="9" t="s">
        <v>36</v>
      </c>
    </row>
    <row r="5" customFormat="false" ht="15" hidden="false" customHeight="false" outlineLevel="0" collapsed="false">
      <c r="A5" s="10" t="s">
        <v>37</v>
      </c>
      <c r="B5" s="10" t="s">
        <v>38</v>
      </c>
      <c r="C5" s="10" t="n">
        <v>4</v>
      </c>
      <c r="D5" s="10" t="n">
        <v>2</v>
      </c>
      <c r="E5" s="11" t="s">
        <v>39</v>
      </c>
    </row>
    <row r="6" customFormat="false" ht="15" hidden="false" customHeight="false" outlineLevel="0" collapsed="false">
      <c r="A6" s="12" t="s">
        <v>40</v>
      </c>
      <c r="B6" s="12" t="s">
        <v>38</v>
      </c>
      <c r="C6" s="12" t="n">
        <v>33</v>
      </c>
      <c r="D6" s="12" t="n">
        <v>2</v>
      </c>
      <c r="E6" s="13" t="s">
        <v>41</v>
      </c>
    </row>
    <row r="7" customFormat="false" ht="15" hidden="false" customHeight="false" outlineLevel="0" collapsed="false">
      <c r="A7" s="10" t="s">
        <v>42</v>
      </c>
      <c r="B7" s="10" t="s">
        <v>38</v>
      </c>
      <c r="C7" s="10" t="n">
        <v>7</v>
      </c>
      <c r="D7" s="10" t="n">
        <v>2</v>
      </c>
      <c r="E7" s="11" t="s">
        <v>43</v>
      </c>
    </row>
    <row r="8" customFormat="false" ht="15" hidden="false" customHeight="false" outlineLevel="0" collapsed="false">
      <c r="A8" s="12" t="s">
        <v>44</v>
      </c>
      <c r="B8" s="12" t="s">
        <v>38</v>
      </c>
      <c r="C8" s="12" t="n">
        <v>17</v>
      </c>
      <c r="D8" s="12" t="n">
        <v>1</v>
      </c>
      <c r="E8" s="13" t="s">
        <v>45</v>
      </c>
    </row>
    <row r="9" customFormat="false" ht="15" hidden="false" customHeight="false" outlineLevel="0" collapsed="false">
      <c r="A9" s="10" t="s">
        <v>46</v>
      </c>
      <c r="B9" s="10" t="s">
        <v>38</v>
      </c>
      <c r="C9" s="10" t="n">
        <v>8</v>
      </c>
      <c r="D9" s="10" t="n">
        <v>2</v>
      </c>
      <c r="E9" s="11" t="s">
        <v>47</v>
      </c>
    </row>
    <row r="10" customFormat="false" ht="15" hidden="false" customHeight="false" outlineLevel="0" collapsed="false">
      <c r="A10" s="12" t="s">
        <v>48</v>
      </c>
      <c r="B10" s="12" t="s">
        <v>38</v>
      </c>
      <c r="C10" s="12" t="n">
        <v>11</v>
      </c>
      <c r="D10" s="12" t="n">
        <v>2</v>
      </c>
      <c r="E10" s="13" t="s">
        <v>49</v>
      </c>
    </row>
    <row r="11" customFormat="false" ht="15" hidden="false" customHeight="false" outlineLevel="0" collapsed="false">
      <c r="A11" s="10" t="s">
        <v>50</v>
      </c>
      <c r="B11" s="10" t="s">
        <v>38</v>
      </c>
      <c r="C11" s="10" t="n">
        <v>10</v>
      </c>
      <c r="D11" s="10" t="n">
        <v>2</v>
      </c>
      <c r="E11" s="11" t="s">
        <v>51</v>
      </c>
    </row>
    <row r="12" customFormat="false" ht="15" hidden="false" customHeight="false" outlineLevel="0" collapsed="false">
      <c r="A12" s="12" t="s">
        <v>52</v>
      </c>
      <c r="B12" s="12" t="s">
        <v>38</v>
      </c>
      <c r="C12" s="12" t="n">
        <v>7</v>
      </c>
      <c r="D12" s="12" t="n">
        <v>2</v>
      </c>
      <c r="E12" s="13" t="s">
        <v>53</v>
      </c>
    </row>
    <row r="13" customFormat="false" ht="15" hidden="false" customHeight="false" outlineLevel="0" collapsed="false">
      <c r="A13" s="10" t="s">
        <v>54</v>
      </c>
      <c r="B13" s="10" t="s">
        <v>38</v>
      </c>
      <c r="C13" s="10" t="n">
        <v>5</v>
      </c>
      <c r="D13" s="10" t="n">
        <v>2</v>
      </c>
      <c r="E13" s="11" t="s">
        <v>55</v>
      </c>
    </row>
    <row r="14" customFormat="false" ht="15" hidden="false" customHeight="false" outlineLevel="0" collapsed="false">
      <c r="A14" s="12" t="s">
        <v>56</v>
      </c>
      <c r="B14" s="12" t="s">
        <v>38</v>
      </c>
      <c r="C14" s="12" t="n">
        <v>10</v>
      </c>
      <c r="D14" s="12" t="n">
        <v>2</v>
      </c>
      <c r="E14" s="13" t="s">
        <v>57</v>
      </c>
    </row>
    <row r="15" customFormat="false" ht="15" hidden="false" customHeight="false" outlineLevel="0" collapsed="false">
      <c r="A15" s="10" t="s">
        <v>58</v>
      </c>
      <c r="B15" s="10" t="s">
        <v>38</v>
      </c>
      <c r="C15" s="10" t="n">
        <v>8</v>
      </c>
      <c r="D15" s="10" t="n">
        <v>2</v>
      </c>
      <c r="E15" s="11" t="s">
        <v>59</v>
      </c>
    </row>
    <row r="16" customFormat="false" ht="15" hidden="false" customHeight="false" outlineLevel="0" collapsed="false">
      <c r="A16" s="12" t="s">
        <v>60</v>
      </c>
      <c r="B16" s="12" t="s">
        <v>38</v>
      </c>
      <c r="C16" s="12" t="n">
        <v>5</v>
      </c>
      <c r="D16" s="12" t="n">
        <v>2</v>
      </c>
      <c r="E16" s="13" t="s">
        <v>61</v>
      </c>
    </row>
    <row r="17" customFormat="false" ht="15" hidden="false" customHeight="false" outlineLevel="0" collapsed="false">
      <c r="A17" s="10" t="s">
        <v>62</v>
      </c>
      <c r="B17" s="10" t="s">
        <v>38</v>
      </c>
      <c r="C17" s="10" t="n">
        <v>7</v>
      </c>
      <c r="D17" s="10" t="n">
        <v>5</v>
      </c>
      <c r="E17" s="11" t="s">
        <v>63</v>
      </c>
    </row>
    <row r="18" customFormat="false" ht="15" hidden="false" customHeight="false" outlineLevel="0" collapsed="false">
      <c r="A18" s="12" t="s">
        <v>64</v>
      </c>
      <c r="B18" s="12" t="s">
        <v>38</v>
      </c>
      <c r="C18" s="12" t="n">
        <v>6</v>
      </c>
      <c r="D18" s="12" t="n">
        <v>2</v>
      </c>
      <c r="E18" s="13" t="s">
        <v>65</v>
      </c>
    </row>
    <row r="19" customFormat="false" ht="15" hidden="false" customHeight="false" outlineLevel="0" collapsed="false">
      <c r="A19" s="10" t="s">
        <v>66</v>
      </c>
      <c r="B19" s="10" t="s">
        <v>38</v>
      </c>
      <c r="C19" s="10" t="n">
        <v>13</v>
      </c>
      <c r="D19" s="10" t="n">
        <v>1</v>
      </c>
      <c r="E19" s="11" t="s">
        <v>67</v>
      </c>
    </row>
    <row r="20" customFormat="false" ht="15" hidden="false" customHeight="false" outlineLevel="0" collapsed="false">
      <c r="A20" s="12" t="s">
        <v>68</v>
      </c>
      <c r="B20" s="12" t="s">
        <v>38</v>
      </c>
      <c r="C20" s="12" t="n">
        <v>18</v>
      </c>
      <c r="D20" s="12" t="n">
        <v>2</v>
      </c>
      <c r="E20" s="13" t="s">
        <v>69</v>
      </c>
    </row>
    <row r="21" customFormat="false" ht="15" hidden="false" customHeight="false" outlineLevel="0" collapsed="false">
      <c r="A21" s="10" t="s">
        <v>70</v>
      </c>
      <c r="B21" s="10" t="s">
        <v>38</v>
      </c>
      <c r="C21" s="10" t="n">
        <v>6</v>
      </c>
      <c r="D21" s="10" t="n">
        <v>2</v>
      </c>
      <c r="E21" s="11" t="s">
        <v>71</v>
      </c>
    </row>
    <row r="22" customFormat="false" ht="15" hidden="false" customHeight="false" outlineLevel="0" collapsed="false">
      <c r="A22" s="12" t="s">
        <v>72</v>
      </c>
      <c r="B22" s="12" t="s">
        <v>73</v>
      </c>
      <c r="C22" s="12" t="n">
        <v>6</v>
      </c>
      <c r="D22" s="12" t="n">
        <v>0</v>
      </c>
      <c r="E22" s="13" t="s">
        <v>74</v>
      </c>
    </row>
  </sheetData>
  <autoFilter ref="A4:E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6"/>
  </cols>
  <sheetData>
    <row r="1" customFormat="false" ht="17.35" hidden="false" customHeight="false" outlineLevel="0" collapsed="false">
      <c r="A1" s="8" t="s">
        <v>10</v>
      </c>
    </row>
    <row r="2" customFormat="false" ht="15" hidden="false" customHeight="false" outlineLevel="0" collapsed="false">
      <c r="A2" s="2" t="s">
        <v>75</v>
      </c>
    </row>
    <row r="4" customFormat="false" ht="25.5" hidden="false" customHeight="true" outlineLevel="0" collapsed="false">
      <c r="A4" s="9" t="s">
        <v>76</v>
      </c>
      <c r="B4" s="9" t="s">
        <v>77</v>
      </c>
      <c r="C4" s="9" t="s">
        <v>78</v>
      </c>
      <c r="D4" s="9" t="s">
        <v>79</v>
      </c>
      <c r="E4" s="9" t="s">
        <v>80</v>
      </c>
    </row>
    <row r="5" customFormat="false" ht="15" hidden="false" customHeight="false" outlineLevel="0" collapsed="false">
      <c r="A5" s="10" t="s">
        <v>37</v>
      </c>
      <c r="B5" s="10" t="s">
        <v>81</v>
      </c>
      <c r="C5" s="10" t="s">
        <v>82</v>
      </c>
      <c r="D5" s="10" t="s">
        <v>83</v>
      </c>
      <c r="E5" s="10"/>
    </row>
    <row r="6" customFormat="false" ht="15" hidden="false" customHeight="false" outlineLevel="0" collapsed="false">
      <c r="A6" s="12" t="s">
        <v>37</v>
      </c>
      <c r="B6" s="12" t="s">
        <v>84</v>
      </c>
      <c r="C6" s="12" t="s">
        <v>85</v>
      </c>
      <c r="D6" s="12"/>
      <c r="E6" s="12"/>
    </row>
    <row r="7" customFormat="false" ht="15" hidden="false" customHeight="false" outlineLevel="0" collapsed="false">
      <c r="A7" s="10" t="s">
        <v>37</v>
      </c>
      <c r="B7" s="10" t="s">
        <v>86</v>
      </c>
      <c r="C7" s="10" t="s">
        <v>87</v>
      </c>
      <c r="D7" s="10"/>
      <c r="E7" s="10"/>
    </row>
    <row r="8" customFormat="false" ht="15" hidden="false" customHeight="false" outlineLevel="0" collapsed="false">
      <c r="A8" s="12" t="s">
        <v>37</v>
      </c>
      <c r="B8" s="12" t="s">
        <v>88</v>
      </c>
      <c r="C8" s="12" t="s">
        <v>89</v>
      </c>
      <c r="D8" s="12" t="s">
        <v>83</v>
      </c>
      <c r="E8" s="12" t="s">
        <v>90</v>
      </c>
    </row>
    <row r="9" customFormat="false" ht="15" hidden="false" customHeight="false" outlineLevel="0" collapsed="false">
      <c r="A9" s="10" t="s">
        <v>40</v>
      </c>
      <c r="B9" s="10" t="s">
        <v>91</v>
      </c>
      <c r="C9" s="10" t="s">
        <v>87</v>
      </c>
      <c r="D9" s="10" t="s">
        <v>83</v>
      </c>
      <c r="E9" s="10" t="s">
        <v>92</v>
      </c>
    </row>
    <row r="10" customFormat="false" ht="15" hidden="false" customHeight="false" outlineLevel="0" collapsed="false">
      <c r="A10" s="12" t="s">
        <v>40</v>
      </c>
      <c r="B10" s="12" t="s">
        <v>93</v>
      </c>
      <c r="C10" s="12" t="s">
        <v>82</v>
      </c>
      <c r="D10" s="12" t="s">
        <v>83</v>
      </c>
      <c r="E10" s="12"/>
    </row>
    <row r="11" customFormat="false" ht="15" hidden="false" customHeight="false" outlineLevel="0" collapsed="false">
      <c r="A11" s="10" t="s">
        <v>40</v>
      </c>
      <c r="B11" s="10" t="s">
        <v>94</v>
      </c>
      <c r="C11" s="10" t="s">
        <v>82</v>
      </c>
      <c r="D11" s="10"/>
      <c r="E11" s="10"/>
    </row>
    <row r="12" customFormat="false" ht="15" hidden="false" customHeight="false" outlineLevel="0" collapsed="false">
      <c r="A12" s="12" t="s">
        <v>40</v>
      </c>
      <c r="B12" s="12" t="s">
        <v>95</v>
      </c>
      <c r="C12" s="12" t="s">
        <v>96</v>
      </c>
      <c r="D12" s="12" t="s">
        <v>83</v>
      </c>
      <c r="E12" s="12" t="s">
        <v>97</v>
      </c>
    </row>
    <row r="13" customFormat="false" ht="15" hidden="false" customHeight="false" outlineLevel="0" collapsed="false">
      <c r="A13" s="10" t="s">
        <v>40</v>
      </c>
      <c r="B13" s="10" t="s">
        <v>98</v>
      </c>
      <c r="C13" s="10" t="s">
        <v>82</v>
      </c>
      <c r="D13" s="10" t="s">
        <v>83</v>
      </c>
      <c r="E13" s="10"/>
    </row>
    <row r="14" customFormat="false" ht="15" hidden="false" customHeight="false" outlineLevel="0" collapsed="false">
      <c r="A14" s="12" t="s">
        <v>40</v>
      </c>
      <c r="B14" s="12" t="s">
        <v>99</v>
      </c>
      <c r="C14" s="12" t="s">
        <v>82</v>
      </c>
      <c r="D14" s="12"/>
      <c r="E14" s="12"/>
    </row>
    <row r="15" customFormat="false" ht="15" hidden="false" customHeight="false" outlineLevel="0" collapsed="false">
      <c r="A15" s="10" t="s">
        <v>40</v>
      </c>
      <c r="B15" s="10" t="s">
        <v>100</v>
      </c>
      <c r="C15" s="10" t="s">
        <v>82</v>
      </c>
      <c r="D15" s="10"/>
      <c r="E15" s="10"/>
    </row>
    <row r="16" customFormat="false" ht="15" hidden="false" customHeight="false" outlineLevel="0" collapsed="false">
      <c r="A16" s="12" t="s">
        <v>40</v>
      </c>
      <c r="B16" s="12" t="s">
        <v>101</v>
      </c>
      <c r="C16" s="12" t="s">
        <v>87</v>
      </c>
      <c r="D16" s="12"/>
      <c r="E16" s="12"/>
    </row>
    <row r="17" customFormat="false" ht="15" hidden="false" customHeight="false" outlineLevel="0" collapsed="false">
      <c r="A17" s="10" t="s">
        <v>40</v>
      </c>
      <c r="B17" s="10" t="s">
        <v>102</v>
      </c>
      <c r="C17" s="10" t="s">
        <v>103</v>
      </c>
      <c r="D17" s="10"/>
      <c r="E17" s="10"/>
    </row>
    <row r="18" customFormat="false" ht="15" hidden="false" customHeight="false" outlineLevel="0" collapsed="false">
      <c r="A18" s="12" t="s">
        <v>40</v>
      </c>
      <c r="B18" s="12" t="s">
        <v>104</v>
      </c>
      <c r="C18" s="12" t="s">
        <v>82</v>
      </c>
      <c r="D18" s="12"/>
      <c r="E18" s="12"/>
    </row>
    <row r="19" customFormat="false" ht="15" hidden="false" customHeight="false" outlineLevel="0" collapsed="false">
      <c r="A19" s="10" t="s">
        <v>40</v>
      </c>
      <c r="B19" s="10" t="s">
        <v>105</v>
      </c>
      <c r="C19" s="10" t="s">
        <v>106</v>
      </c>
      <c r="D19" s="10"/>
      <c r="E19" s="10"/>
    </row>
    <row r="20" customFormat="false" ht="15" hidden="false" customHeight="false" outlineLevel="0" collapsed="false">
      <c r="A20" s="12" t="s">
        <v>40</v>
      </c>
      <c r="B20" s="12" t="s">
        <v>107</v>
      </c>
      <c r="C20" s="12" t="s">
        <v>89</v>
      </c>
      <c r="D20" s="12" t="s">
        <v>83</v>
      </c>
      <c r="E20" s="12" t="s">
        <v>90</v>
      </c>
    </row>
    <row r="21" customFormat="false" ht="15" hidden="false" customHeight="false" outlineLevel="0" collapsed="false">
      <c r="A21" s="10" t="s">
        <v>40</v>
      </c>
      <c r="B21" s="10" t="s">
        <v>108</v>
      </c>
      <c r="C21" s="10" t="s">
        <v>82</v>
      </c>
      <c r="D21" s="10" t="s">
        <v>83</v>
      </c>
      <c r="E21" s="10" t="s">
        <v>109</v>
      </c>
    </row>
    <row r="22" customFormat="false" ht="15" hidden="false" customHeight="false" outlineLevel="0" collapsed="false">
      <c r="A22" s="12" t="s">
        <v>40</v>
      </c>
      <c r="B22" s="12" t="s">
        <v>110</v>
      </c>
      <c r="C22" s="12" t="s">
        <v>87</v>
      </c>
      <c r="D22" s="12"/>
      <c r="E22" s="12"/>
    </row>
    <row r="23" customFormat="false" ht="15" hidden="false" customHeight="false" outlineLevel="0" collapsed="false">
      <c r="A23" s="10" t="s">
        <v>40</v>
      </c>
      <c r="B23" s="10" t="s">
        <v>111</v>
      </c>
      <c r="C23" s="10" t="s">
        <v>89</v>
      </c>
      <c r="D23" s="10"/>
      <c r="E23" s="10"/>
    </row>
    <row r="24" customFormat="false" ht="15" hidden="false" customHeight="false" outlineLevel="0" collapsed="false">
      <c r="A24" s="12" t="s">
        <v>40</v>
      </c>
      <c r="B24" s="12" t="s">
        <v>112</v>
      </c>
      <c r="C24" s="12" t="s">
        <v>82</v>
      </c>
      <c r="D24" s="12"/>
      <c r="E24" s="12"/>
    </row>
    <row r="25" customFormat="false" ht="15" hidden="false" customHeight="false" outlineLevel="0" collapsed="false">
      <c r="A25" s="10" t="s">
        <v>40</v>
      </c>
      <c r="B25" s="10" t="s">
        <v>113</v>
      </c>
      <c r="C25" s="10" t="s">
        <v>82</v>
      </c>
      <c r="D25" s="10"/>
      <c r="E25" s="10"/>
    </row>
    <row r="26" customFormat="false" ht="15" hidden="false" customHeight="false" outlineLevel="0" collapsed="false">
      <c r="A26" s="12" t="s">
        <v>40</v>
      </c>
      <c r="B26" s="12" t="s">
        <v>114</v>
      </c>
      <c r="C26" s="12" t="s">
        <v>115</v>
      </c>
      <c r="D26" s="12"/>
      <c r="E26" s="12"/>
    </row>
    <row r="27" customFormat="false" ht="15" hidden="false" customHeight="false" outlineLevel="0" collapsed="false">
      <c r="A27" s="10" t="s">
        <v>40</v>
      </c>
      <c r="B27" s="10" t="s">
        <v>116</v>
      </c>
      <c r="C27" s="10" t="s">
        <v>82</v>
      </c>
      <c r="D27" s="10"/>
      <c r="E27" s="10"/>
    </row>
    <row r="28" customFormat="false" ht="15" hidden="false" customHeight="false" outlineLevel="0" collapsed="false">
      <c r="A28" s="12" t="s">
        <v>40</v>
      </c>
      <c r="B28" s="12" t="s">
        <v>117</v>
      </c>
      <c r="C28" s="12" t="s">
        <v>96</v>
      </c>
      <c r="D28" s="12" t="s">
        <v>83</v>
      </c>
      <c r="E28" s="12" t="s">
        <v>97</v>
      </c>
    </row>
    <row r="29" customFormat="false" ht="15" hidden="false" customHeight="false" outlineLevel="0" collapsed="false">
      <c r="A29" s="10" t="s">
        <v>40</v>
      </c>
      <c r="B29" s="10" t="s">
        <v>118</v>
      </c>
      <c r="C29" s="10" t="s">
        <v>96</v>
      </c>
      <c r="D29" s="10" t="s">
        <v>83</v>
      </c>
      <c r="E29" s="10" t="s">
        <v>97</v>
      </c>
    </row>
    <row r="30" customFormat="false" ht="15" hidden="false" customHeight="false" outlineLevel="0" collapsed="false">
      <c r="A30" s="12" t="s">
        <v>40</v>
      </c>
      <c r="B30" s="12" t="s">
        <v>119</v>
      </c>
      <c r="C30" s="12" t="s">
        <v>89</v>
      </c>
      <c r="D30" s="12"/>
      <c r="E30" s="12"/>
    </row>
    <row r="31" customFormat="false" ht="15" hidden="false" customHeight="false" outlineLevel="0" collapsed="false">
      <c r="A31" s="10" t="s">
        <v>40</v>
      </c>
      <c r="B31" s="10" t="s">
        <v>120</v>
      </c>
      <c r="C31" s="10" t="s">
        <v>96</v>
      </c>
      <c r="D31" s="10"/>
      <c r="E31" s="10"/>
    </row>
    <row r="32" customFormat="false" ht="15" hidden="false" customHeight="false" outlineLevel="0" collapsed="false">
      <c r="A32" s="12" t="s">
        <v>40</v>
      </c>
      <c r="B32" s="12" t="s">
        <v>121</v>
      </c>
      <c r="C32" s="12" t="s">
        <v>106</v>
      </c>
      <c r="D32" s="12"/>
      <c r="E32" s="12"/>
    </row>
    <row r="33" customFormat="false" ht="15" hidden="false" customHeight="false" outlineLevel="0" collapsed="false">
      <c r="A33" s="10" t="s">
        <v>40</v>
      </c>
      <c r="B33" s="10" t="s">
        <v>122</v>
      </c>
      <c r="C33" s="10" t="s">
        <v>82</v>
      </c>
      <c r="D33" s="10"/>
      <c r="E33" s="10"/>
    </row>
    <row r="34" customFormat="false" ht="15" hidden="false" customHeight="false" outlineLevel="0" collapsed="false">
      <c r="A34" s="12" t="s">
        <v>40</v>
      </c>
      <c r="B34" s="12" t="s">
        <v>123</v>
      </c>
      <c r="C34" s="12" t="s">
        <v>82</v>
      </c>
      <c r="D34" s="12"/>
      <c r="E34" s="12" t="s">
        <v>124</v>
      </c>
    </row>
    <row r="35" customFormat="false" ht="15" hidden="false" customHeight="false" outlineLevel="0" collapsed="false">
      <c r="A35" s="10" t="s">
        <v>40</v>
      </c>
      <c r="B35" s="10" t="s">
        <v>125</v>
      </c>
      <c r="C35" s="10" t="s">
        <v>126</v>
      </c>
      <c r="D35" s="10"/>
      <c r="E35" s="10" t="s">
        <v>127</v>
      </c>
    </row>
    <row r="36" customFormat="false" ht="15" hidden="false" customHeight="false" outlineLevel="0" collapsed="false">
      <c r="A36" s="12" t="s">
        <v>40</v>
      </c>
      <c r="B36" s="12" t="s">
        <v>128</v>
      </c>
      <c r="C36" s="12" t="s">
        <v>82</v>
      </c>
      <c r="D36" s="12"/>
      <c r="E36" s="12"/>
    </row>
    <row r="37" customFormat="false" ht="15" hidden="false" customHeight="false" outlineLevel="0" collapsed="false">
      <c r="A37" s="10" t="s">
        <v>40</v>
      </c>
      <c r="B37" s="10" t="s">
        <v>129</v>
      </c>
      <c r="C37" s="10" t="s">
        <v>82</v>
      </c>
      <c r="D37" s="10"/>
      <c r="E37" s="10" t="s">
        <v>124</v>
      </c>
    </row>
    <row r="38" customFormat="false" ht="15" hidden="false" customHeight="false" outlineLevel="0" collapsed="false">
      <c r="A38" s="12" t="s">
        <v>40</v>
      </c>
      <c r="B38" s="12" t="s">
        <v>130</v>
      </c>
      <c r="C38" s="12" t="s">
        <v>96</v>
      </c>
      <c r="D38" s="12"/>
      <c r="E38" s="12"/>
    </row>
    <row r="39" customFormat="false" ht="15" hidden="false" customHeight="false" outlineLevel="0" collapsed="false">
      <c r="A39" s="10" t="s">
        <v>40</v>
      </c>
      <c r="B39" s="10" t="s">
        <v>131</v>
      </c>
      <c r="C39" s="10" t="s">
        <v>82</v>
      </c>
      <c r="D39" s="10"/>
      <c r="E39" s="10"/>
    </row>
    <row r="40" customFormat="false" ht="15" hidden="false" customHeight="false" outlineLevel="0" collapsed="false">
      <c r="A40" s="12" t="s">
        <v>40</v>
      </c>
      <c r="B40" s="12" t="s">
        <v>132</v>
      </c>
      <c r="C40" s="12" t="s">
        <v>106</v>
      </c>
      <c r="D40" s="12"/>
      <c r="E40" s="12"/>
    </row>
    <row r="41" customFormat="false" ht="15" hidden="false" customHeight="false" outlineLevel="0" collapsed="false">
      <c r="A41" s="10" t="s">
        <v>40</v>
      </c>
      <c r="B41" s="10" t="s">
        <v>133</v>
      </c>
      <c r="C41" s="10" t="s">
        <v>82</v>
      </c>
      <c r="D41" s="10"/>
      <c r="E41" s="10"/>
    </row>
    <row r="42" customFormat="false" ht="15" hidden="false" customHeight="false" outlineLevel="0" collapsed="false">
      <c r="A42" s="12" t="s">
        <v>42</v>
      </c>
      <c r="B42" s="12" t="s">
        <v>91</v>
      </c>
      <c r="C42" s="12" t="s">
        <v>87</v>
      </c>
      <c r="D42" s="12" t="s">
        <v>83</v>
      </c>
      <c r="E42" s="12" t="s">
        <v>92</v>
      </c>
    </row>
    <row r="43" customFormat="false" ht="15" hidden="false" customHeight="false" outlineLevel="0" collapsed="false">
      <c r="A43" s="10" t="s">
        <v>42</v>
      </c>
      <c r="B43" s="10" t="s">
        <v>134</v>
      </c>
      <c r="C43" s="10" t="s">
        <v>87</v>
      </c>
      <c r="D43" s="10"/>
      <c r="E43" s="10"/>
    </row>
    <row r="44" customFormat="false" ht="15" hidden="false" customHeight="false" outlineLevel="0" collapsed="false">
      <c r="A44" s="12" t="s">
        <v>42</v>
      </c>
      <c r="B44" s="12" t="s">
        <v>135</v>
      </c>
      <c r="C44" s="12" t="s">
        <v>82</v>
      </c>
      <c r="D44" s="12"/>
      <c r="E44" s="12"/>
    </row>
    <row r="45" customFormat="false" ht="15" hidden="false" customHeight="false" outlineLevel="0" collapsed="false">
      <c r="A45" s="10" t="s">
        <v>42</v>
      </c>
      <c r="B45" s="10" t="s">
        <v>136</v>
      </c>
      <c r="C45" s="10" t="s">
        <v>82</v>
      </c>
      <c r="D45" s="10"/>
      <c r="E45" s="10"/>
    </row>
    <row r="46" customFormat="false" ht="15" hidden="false" customHeight="false" outlineLevel="0" collapsed="false">
      <c r="A46" s="12" t="s">
        <v>42</v>
      </c>
      <c r="B46" s="12" t="s">
        <v>137</v>
      </c>
      <c r="C46" s="12" t="s">
        <v>87</v>
      </c>
      <c r="D46" s="12"/>
      <c r="E46" s="12"/>
    </row>
    <row r="47" customFormat="false" ht="15" hidden="false" customHeight="false" outlineLevel="0" collapsed="false">
      <c r="A47" s="10" t="s">
        <v>42</v>
      </c>
      <c r="B47" s="10" t="s">
        <v>138</v>
      </c>
      <c r="C47" s="10" t="s">
        <v>85</v>
      </c>
      <c r="D47" s="10"/>
      <c r="E47" s="10"/>
    </row>
    <row r="48" customFormat="false" ht="15" hidden="false" customHeight="false" outlineLevel="0" collapsed="false">
      <c r="A48" s="12" t="s">
        <v>42</v>
      </c>
      <c r="B48" s="12" t="s">
        <v>139</v>
      </c>
      <c r="C48" s="12" t="s">
        <v>89</v>
      </c>
      <c r="D48" s="12" t="s">
        <v>83</v>
      </c>
      <c r="E48" s="12" t="s">
        <v>90</v>
      </c>
    </row>
    <row r="49" customFormat="false" ht="15" hidden="false" customHeight="false" outlineLevel="0" collapsed="false">
      <c r="A49" s="10" t="s">
        <v>44</v>
      </c>
      <c r="B49" s="10" t="s">
        <v>91</v>
      </c>
      <c r="C49" s="10" t="s">
        <v>87</v>
      </c>
      <c r="D49" s="10" t="s">
        <v>83</v>
      </c>
      <c r="E49" s="10" t="s">
        <v>92</v>
      </c>
    </row>
    <row r="50" customFormat="false" ht="15" hidden="false" customHeight="false" outlineLevel="0" collapsed="false">
      <c r="A50" s="12" t="s">
        <v>44</v>
      </c>
      <c r="B50" s="12" t="s">
        <v>140</v>
      </c>
      <c r="C50" s="12" t="s">
        <v>82</v>
      </c>
      <c r="D50" s="12" t="s">
        <v>83</v>
      </c>
      <c r="E50" s="12"/>
    </row>
    <row r="51" customFormat="false" ht="15" hidden="false" customHeight="false" outlineLevel="0" collapsed="false">
      <c r="A51" s="10" t="s">
        <v>44</v>
      </c>
      <c r="B51" s="10" t="s">
        <v>141</v>
      </c>
      <c r="C51" s="10" t="s">
        <v>89</v>
      </c>
      <c r="D51" s="10"/>
      <c r="E51" s="10"/>
    </row>
    <row r="52" customFormat="false" ht="15" hidden="false" customHeight="false" outlineLevel="0" collapsed="false">
      <c r="A52" s="12" t="s">
        <v>44</v>
      </c>
      <c r="B52" s="12" t="s">
        <v>142</v>
      </c>
      <c r="C52" s="12" t="s">
        <v>89</v>
      </c>
      <c r="D52" s="12"/>
      <c r="E52" s="12"/>
    </row>
    <row r="53" customFormat="false" ht="15" hidden="false" customHeight="false" outlineLevel="0" collapsed="false">
      <c r="A53" s="10" t="s">
        <v>44</v>
      </c>
      <c r="B53" s="10" t="s">
        <v>143</v>
      </c>
      <c r="C53" s="10" t="s">
        <v>89</v>
      </c>
      <c r="D53" s="10" t="s">
        <v>83</v>
      </c>
      <c r="E53" s="10" t="s">
        <v>90</v>
      </c>
    </row>
    <row r="54" customFormat="false" ht="15" hidden="false" customHeight="false" outlineLevel="0" collapsed="false">
      <c r="A54" s="12" t="s">
        <v>44</v>
      </c>
      <c r="B54" s="12" t="s">
        <v>144</v>
      </c>
      <c r="C54" s="12" t="s">
        <v>89</v>
      </c>
      <c r="D54" s="12"/>
      <c r="E54" s="12"/>
    </row>
    <row r="55" customFormat="false" ht="15" hidden="false" customHeight="false" outlineLevel="0" collapsed="false">
      <c r="A55" s="10" t="s">
        <v>44</v>
      </c>
      <c r="B55" s="10" t="s">
        <v>108</v>
      </c>
      <c r="C55" s="10" t="s">
        <v>82</v>
      </c>
      <c r="D55" s="10" t="s">
        <v>83</v>
      </c>
      <c r="E55" s="10" t="s">
        <v>145</v>
      </c>
    </row>
    <row r="56" customFormat="false" ht="15" hidden="false" customHeight="false" outlineLevel="0" collapsed="false">
      <c r="A56" s="12" t="s">
        <v>44</v>
      </c>
      <c r="B56" s="12" t="s">
        <v>146</v>
      </c>
      <c r="C56" s="12" t="s">
        <v>106</v>
      </c>
      <c r="D56" s="12"/>
      <c r="E56" s="12"/>
    </row>
    <row r="57" customFormat="false" ht="15" hidden="false" customHeight="false" outlineLevel="0" collapsed="false">
      <c r="A57" s="10" t="s">
        <v>44</v>
      </c>
      <c r="B57" s="10" t="s">
        <v>147</v>
      </c>
      <c r="C57" s="10" t="s">
        <v>106</v>
      </c>
      <c r="D57" s="10"/>
      <c r="E57" s="10"/>
    </row>
    <row r="58" customFormat="false" ht="15" hidden="false" customHeight="false" outlineLevel="0" collapsed="false">
      <c r="A58" s="12" t="s">
        <v>44</v>
      </c>
      <c r="B58" s="12" t="s">
        <v>148</v>
      </c>
      <c r="C58" s="12" t="s">
        <v>106</v>
      </c>
      <c r="D58" s="12"/>
      <c r="E58" s="12"/>
    </row>
    <row r="59" customFormat="false" ht="15" hidden="false" customHeight="false" outlineLevel="0" collapsed="false">
      <c r="A59" s="10" t="s">
        <v>44</v>
      </c>
      <c r="B59" s="10" t="s">
        <v>149</v>
      </c>
      <c r="C59" s="10" t="s">
        <v>106</v>
      </c>
      <c r="D59" s="10"/>
      <c r="E59" s="10"/>
    </row>
    <row r="60" customFormat="false" ht="15" hidden="false" customHeight="false" outlineLevel="0" collapsed="false">
      <c r="A60" s="12" t="s">
        <v>44</v>
      </c>
      <c r="B60" s="12" t="s">
        <v>150</v>
      </c>
      <c r="C60" s="12" t="s">
        <v>106</v>
      </c>
      <c r="D60" s="12"/>
      <c r="E60" s="12"/>
    </row>
    <row r="61" customFormat="false" ht="15" hidden="false" customHeight="false" outlineLevel="0" collapsed="false">
      <c r="A61" s="10" t="s">
        <v>44</v>
      </c>
      <c r="B61" s="10" t="s">
        <v>151</v>
      </c>
      <c r="C61" s="10" t="s">
        <v>85</v>
      </c>
      <c r="D61" s="10"/>
      <c r="E61" s="10"/>
    </row>
    <row r="62" customFormat="false" ht="15" hidden="false" customHeight="false" outlineLevel="0" collapsed="false">
      <c r="A62" s="12" t="s">
        <v>44</v>
      </c>
      <c r="B62" s="12" t="s">
        <v>152</v>
      </c>
      <c r="C62" s="12" t="s">
        <v>87</v>
      </c>
      <c r="D62" s="12"/>
      <c r="E62" s="12"/>
    </row>
    <row r="63" customFormat="false" ht="15" hidden="false" customHeight="false" outlineLevel="0" collapsed="false">
      <c r="A63" s="10" t="s">
        <v>44</v>
      </c>
      <c r="B63" s="10" t="s">
        <v>153</v>
      </c>
      <c r="C63" s="10" t="s">
        <v>106</v>
      </c>
      <c r="D63" s="10"/>
      <c r="E63" s="10" t="s">
        <v>154</v>
      </c>
    </row>
    <row r="64" customFormat="false" ht="15" hidden="false" customHeight="false" outlineLevel="0" collapsed="false">
      <c r="A64" s="12" t="s">
        <v>44</v>
      </c>
      <c r="B64" s="12" t="s">
        <v>155</v>
      </c>
      <c r="C64" s="12" t="s">
        <v>106</v>
      </c>
      <c r="D64" s="12" t="s">
        <v>83</v>
      </c>
      <c r="E64" s="12" t="s">
        <v>154</v>
      </c>
    </row>
    <row r="65" customFormat="false" ht="15" hidden="false" customHeight="false" outlineLevel="0" collapsed="false">
      <c r="A65" s="10" t="s">
        <v>44</v>
      </c>
      <c r="B65" s="10" t="s">
        <v>156</v>
      </c>
      <c r="C65" s="10" t="s">
        <v>106</v>
      </c>
      <c r="D65" s="10"/>
      <c r="E65" s="10"/>
    </row>
    <row r="66" customFormat="false" ht="15" hidden="false" customHeight="false" outlineLevel="0" collapsed="false">
      <c r="A66" s="12" t="s">
        <v>46</v>
      </c>
      <c r="B66" s="12" t="s">
        <v>91</v>
      </c>
      <c r="C66" s="12" t="s">
        <v>87</v>
      </c>
      <c r="D66" s="12" t="s">
        <v>83</v>
      </c>
      <c r="E66" s="12" t="s">
        <v>92</v>
      </c>
    </row>
    <row r="67" customFormat="false" ht="15" hidden="false" customHeight="false" outlineLevel="0" collapsed="false">
      <c r="A67" s="10" t="s">
        <v>46</v>
      </c>
      <c r="B67" s="10" t="s">
        <v>157</v>
      </c>
      <c r="C67" s="10" t="s">
        <v>82</v>
      </c>
      <c r="D67" s="10" t="s">
        <v>83</v>
      </c>
      <c r="E67" s="10"/>
    </row>
    <row r="68" customFormat="false" ht="15" hidden="false" customHeight="false" outlineLevel="0" collapsed="false">
      <c r="A68" s="12" t="s">
        <v>46</v>
      </c>
      <c r="B68" s="12" t="s">
        <v>158</v>
      </c>
      <c r="C68" s="12" t="s">
        <v>87</v>
      </c>
      <c r="D68" s="12"/>
      <c r="E68" s="12"/>
    </row>
    <row r="69" customFormat="false" ht="15" hidden="false" customHeight="false" outlineLevel="0" collapsed="false">
      <c r="A69" s="10" t="s">
        <v>46</v>
      </c>
      <c r="B69" s="10" t="s">
        <v>159</v>
      </c>
      <c r="C69" s="10" t="s">
        <v>126</v>
      </c>
      <c r="D69" s="10" t="s">
        <v>83</v>
      </c>
      <c r="E69" s="10" t="s">
        <v>127</v>
      </c>
    </row>
    <row r="70" customFormat="false" ht="15" hidden="false" customHeight="false" outlineLevel="0" collapsed="false">
      <c r="A70" s="12" t="s">
        <v>46</v>
      </c>
      <c r="B70" s="12" t="s">
        <v>160</v>
      </c>
      <c r="C70" s="12" t="s">
        <v>82</v>
      </c>
      <c r="D70" s="12"/>
      <c r="E70" s="12"/>
    </row>
    <row r="71" customFormat="false" ht="15" hidden="false" customHeight="false" outlineLevel="0" collapsed="false">
      <c r="A71" s="10" t="s">
        <v>46</v>
      </c>
      <c r="B71" s="10" t="s">
        <v>86</v>
      </c>
      <c r="C71" s="10" t="s">
        <v>87</v>
      </c>
      <c r="D71" s="10"/>
      <c r="E71" s="10"/>
    </row>
    <row r="72" customFormat="false" ht="15" hidden="false" customHeight="false" outlineLevel="0" collapsed="false">
      <c r="A72" s="12" t="s">
        <v>46</v>
      </c>
      <c r="B72" s="12" t="s">
        <v>88</v>
      </c>
      <c r="C72" s="12" t="s">
        <v>89</v>
      </c>
      <c r="D72" s="12"/>
      <c r="E72" s="12"/>
    </row>
    <row r="73" customFormat="false" ht="15" hidden="false" customHeight="false" outlineLevel="0" collapsed="false">
      <c r="A73" s="10" t="s">
        <v>46</v>
      </c>
      <c r="B73" s="10" t="s">
        <v>161</v>
      </c>
      <c r="C73" s="10" t="s">
        <v>82</v>
      </c>
      <c r="D73" s="10"/>
      <c r="E73" s="10"/>
    </row>
    <row r="74" customFormat="false" ht="15" hidden="false" customHeight="false" outlineLevel="0" collapsed="false">
      <c r="A74" s="12" t="s">
        <v>72</v>
      </c>
      <c r="B74" s="12" t="s">
        <v>157</v>
      </c>
      <c r="C74" s="12" t="s">
        <v>82</v>
      </c>
      <c r="D74" s="12"/>
      <c r="E74" s="12"/>
    </row>
    <row r="75" customFormat="false" ht="15" hidden="false" customHeight="false" outlineLevel="0" collapsed="false">
      <c r="A75" s="10" t="s">
        <v>72</v>
      </c>
      <c r="B75" s="10" t="s">
        <v>159</v>
      </c>
      <c r="C75" s="10" t="s">
        <v>126</v>
      </c>
      <c r="D75" s="10"/>
      <c r="E75" s="10"/>
    </row>
    <row r="76" customFormat="false" ht="15" hidden="false" customHeight="false" outlineLevel="0" collapsed="false">
      <c r="A76" s="12" t="s">
        <v>72</v>
      </c>
      <c r="B76" s="12" t="s">
        <v>160</v>
      </c>
      <c r="C76" s="12" t="s">
        <v>82</v>
      </c>
      <c r="D76" s="12"/>
      <c r="E76" s="12"/>
    </row>
    <row r="77" customFormat="false" ht="15" hidden="false" customHeight="false" outlineLevel="0" collapsed="false">
      <c r="A77" s="10" t="s">
        <v>72</v>
      </c>
      <c r="B77" s="10" t="s">
        <v>161</v>
      </c>
      <c r="C77" s="10" t="s">
        <v>82</v>
      </c>
      <c r="D77" s="10"/>
      <c r="E77" s="10"/>
    </row>
    <row r="78" customFormat="false" ht="15" hidden="false" customHeight="false" outlineLevel="0" collapsed="false">
      <c r="A78" s="12" t="s">
        <v>72</v>
      </c>
      <c r="B78" s="12" t="s">
        <v>86</v>
      </c>
      <c r="C78" s="12" t="s">
        <v>87</v>
      </c>
      <c r="D78" s="12"/>
      <c r="E78" s="12"/>
    </row>
    <row r="79" customFormat="false" ht="15" hidden="false" customHeight="false" outlineLevel="0" collapsed="false">
      <c r="A79" s="10" t="s">
        <v>72</v>
      </c>
      <c r="B79" s="10" t="s">
        <v>88</v>
      </c>
      <c r="C79" s="10" t="s">
        <v>89</v>
      </c>
      <c r="D79" s="10"/>
      <c r="E79" s="10"/>
    </row>
    <row r="80" customFormat="false" ht="15" hidden="false" customHeight="false" outlineLevel="0" collapsed="false">
      <c r="A80" s="12" t="s">
        <v>48</v>
      </c>
      <c r="B80" s="12" t="s">
        <v>91</v>
      </c>
      <c r="C80" s="12" t="s">
        <v>87</v>
      </c>
      <c r="D80" s="12" t="s">
        <v>83</v>
      </c>
      <c r="E80" s="12" t="s">
        <v>92</v>
      </c>
    </row>
    <row r="81" customFormat="false" ht="15" hidden="false" customHeight="false" outlineLevel="0" collapsed="false">
      <c r="A81" s="10" t="s">
        <v>48</v>
      </c>
      <c r="B81" s="10" t="s">
        <v>162</v>
      </c>
      <c r="C81" s="10" t="s">
        <v>82</v>
      </c>
      <c r="D81" s="10" t="s">
        <v>83</v>
      </c>
      <c r="E81" s="10"/>
    </row>
    <row r="82" customFormat="false" ht="15" hidden="false" customHeight="false" outlineLevel="0" collapsed="false">
      <c r="A82" s="12" t="s">
        <v>48</v>
      </c>
      <c r="B82" s="12" t="s">
        <v>163</v>
      </c>
      <c r="C82" s="12" t="s">
        <v>126</v>
      </c>
      <c r="D82" s="12" t="s">
        <v>83</v>
      </c>
      <c r="E82" s="12" t="s">
        <v>164</v>
      </c>
    </row>
    <row r="83" customFormat="false" ht="15" hidden="false" customHeight="false" outlineLevel="0" collapsed="false">
      <c r="A83" s="10" t="s">
        <v>48</v>
      </c>
      <c r="B83" s="10" t="s">
        <v>165</v>
      </c>
      <c r="C83" s="10" t="s">
        <v>87</v>
      </c>
      <c r="D83" s="10"/>
      <c r="E83" s="10"/>
    </row>
    <row r="84" customFormat="false" ht="15" hidden="false" customHeight="false" outlineLevel="0" collapsed="false">
      <c r="A84" s="12" t="s">
        <v>48</v>
      </c>
      <c r="B84" s="12" t="s">
        <v>139</v>
      </c>
      <c r="C84" s="12" t="s">
        <v>89</v>
      </c>
      <c r="D84" s="12" t="s">
        <v>83</v>
      </c>
      <c r="E84" s="12" t="s">
        <v>90</v>
      </c>
    </row>
    <row r="85" customFormat="false" ht="15" hidden="false" customHeight="false" outlineLevel="0" collapsed="false">
      <c r="A85" s="10" t="s">
        <v>48</v>
      </c>
      <c r="B85" s="10" t="s">
        <v>166</v>
      </c>
      <c r="C85" s="10" t="s">
        <v>82</v>
      </c>
      <c r="D85" s="10" t="s">
        <v>83</v>
      </c>
      <c r="E85" s="10" t="s">
        <v>167</v>
      </c>
    </row>
    <row r="86" customFormat="false" ht="15" hidden="false" customHeight="false" outlineLevel="0" collapsed="false">
      <c r="A86" s="12" t="s">
        <v>48</v>
      </c>
      <c r="B86" s="12" t="s">
        <v>168</v>
      </c>
      <c r="C86" s="12" t="s">
        <v>82</v>
      </c>
      <c r="D86" s="12"/>
      <c r="E86" s="12"/>
    </row>
    <row r="87" customFormat="false" ht="15" hidden="false" customHeight="false" outlineLevel="0" collapsed="false">
      <c r="A87" s="10" t="s">
        <v>48</v>
      </c>
      <c r="B87" s="10" t="s">
        <v>169</v>
      </c>
      <c r="C87" s="10" t="s">
        <v>82</v>
      </c>
      <c r="D87" s="10"/>
      <c r="E87" s="10"/>
    </row>
    <row r="88" customFormat="false" ht="15" hidden="false" customHeight="false" outlineLevel="0" collapsed="false">
      <c r="A88" s="12" t="s">
        <v>48</v>
      </c>
      <c r="B88" s="12" t="s">
        <v>170</v>
      </c>
      <c r="C88" s="12" t="s">
        <v>82</v>
      </c>
      <c r="D88" s="12"/>
      <c r="E88" s="12"/>
    </row>
    <row r="89" customFormat="false" ht="15" hidden="false" customHeight="false" outlineLevel="0" collapsed="false">
      <c r="A89" s="10" t="s">
        <v>48</v>
      </c>
      <c r="B89" s="10" t="s">
        <v>171</v>
      </c>
      <c r="C89" s="10" t="s">
        <v>82</v>
      </c>
      <c r="D89" s="10"/>
      <c r="E89" s="10"/>
    </row>
    <row r="90" customFormat="false" ht="15" hidden="false" customHeight="false" outlineLevel="0" collapsed="false">
      <c r="A90" s="12" t="s">
        <v>48</v>
      </c>
      <c r="B90" s="12" t="s">
        <v>172</v>
      </c>
      <c r="C90" s="12" t="s">
        <v>96</v>
      </c>
      <c r="D90" s="12"/>
      <c r="E90" s="12"/>
    </row>
    <row r="91" customFormat="false" ht="15" hidden="false" customHeight="false" outlineLevel="0" collapsed="false">
      <c r="A91" s="10" t="s">
        <v>50</v>
      </c>
      <c r="B91" s="10" t="s">
        <v>91</v>
      </c>
      <c r="C91" s="10" t="s">
        <v>87</v>
      </c>
      <c r="D91" s="10" t="s">
        <v>83</v>
      </c>
      <c r="E91" s="10" t="s">
        <v>92</v>
      </c>
    </row>
    <row r="92" customFormat="false" ht="15" hidden="false" customHeight="false" outlineLevel="0" collapsed="false">
      <c r="A92" s="12" t="s">
        <v>50</v>
      </c>
      <c r="B92" s="12" t="s">
        <v>173</v>
      </c>
      <c r="C92" s="12" t="s">
        <v>103</v>
      </c>
      <c r="D92" s="12" t="s">
        <v>83</v>
      </c>
      <c r="E92" s="12"/>
    </row>
    <row r="93" customFormat="false" ht="15" hidden="false" customHeight="false" outlineLevel="0" collapsed="false">
      <c r="A93" s="10" t="s">
        <v>50</v>
      </c>
      <c r="B93" s="10" t="s">
        <v>108</v>
      </c>
      <c r="C93" s="10" t="s">
        <v>82</v>
      </c>
      <c r="D93" s="10" t="s">
        <v>83</v>
      </c>
      <c r="E93" s="10" t="s">
        <v>174</v>
      </c>
    </row>
    <row r="94" customFormat="false" ht="15" hidden="false" customHeight="false" outlineLevel="0" collapsed="false">
      <c r="A94" s="12" t="s">
        <v>50</v>
      </c>
      <c r="B94" s="12" t="s">
        <v>175</v>
      </c>
      <c r="C94" s="12" t="s">
        <v>176</v>
      </c>
      <c r="D94" s="12"/>
      <c r="E94" s="12"/>
    </row>
    <row r="95" customFormat="false" ht="15" hidden="false" customHeight="false" outlineLevel="0" collapsed="false">
      <c r="A95" s="10" t="s">
        <v>50</v>
      </c>
      <c r="B95" s="10" t="s">
        <v>177</v>
      </c>
      <c r="C95" s="10" t="s">
        <v>85</v>
      </c>
      <c r="D95" s="10"/>
      <c r="E95" s="10"/>
    </row>
    <row r="96" customFormat="false" ht="15" hidden="false" customHeight="false" outlineLevel="0" collapsed="false">
      <c r="A96" s="12" t="s">
        <v>50</v>
      </c>
      <c r="B96" s="12" t="s">
        <v>178</v>
      </c>
      <c r="C96" s="12" t="s">
        <v>89</v>
      </c>
      <c r="D96" s="12"/>
      <c r="E96" s="12"/>
    </row>
    <row r="97" customFormat="false" ht="15" hidden="false" customHeight="false" outlineLevel="0" collapsed="false">
      <c r="A97" s="10" t="s">
        <v>50</v>
      </c>
      <c r="B97" s="10" t="s">
        <v>179</v>
      </c>
      <c r="C97" s="10" t="s">
        <v>87</v>
      </c>
      <c r="D97" s="10"/>
      <c r="E97" s="10"/>
    </row>
    <row r="98" customFormat="false" ht="15" hidden="false" customHeight="false" outlineLevel="0" collapsed="false">
      <c r="A98" s="12" t="s">
        <v>50</v>
      </c>
      <c r="B98" s="12" t="s">
        <v>180</v>
      </c>
      <c r="C98" s="12" t="s">
        <v>87</v>
      </c>
      <c r="D98" s="12"/>
      <c r="E98" s="12"/>
    </row>
    <row r="99" customFormat="false" ht="15" hidden="false" customHeight="false" outlineLevel="0" collapsed="false">
      <c r="A99" s="10" t="s">
        <v>50</v>
      </c>
      <c r="B99" s="10" t="s">
        <v>181</v>
      </c>
      <c r="C99" s="10" t="s">
        <v>89</v>
      </c>
      <c r="D99" s="10" t="s">
        <v>83</v>
      </c>
      <c r="E99" s="10" t="s">
        <v>90</v>
      </c>
    </row>
    <row r="100" customFormat="false" ht="15" hidden="false" customHeight="false" outlineLevel="0" collapsed="false">
      <c r="A100" s="12" t="s">
        <v>50</v>
      </c>
      <c r="B100" s="12" t="s">
        <v>182</v>
      </c>
      <c r="C100" s="12" t="s">
        <v>85</v>
      </c>
      <c r="D100" s="12" t="s">
        <v>83</v>
      </c>
      <c r="E100" s="12" t="s">
        <v>183</v>
      </c>
    </row>
    <row r="101" customFormat="false" ht="15" hidden="false" customHeight="false" outlineLevel="0" collapsed="false">
      <c r="A101" s="10" t="s">
        <v>52</v>
      </c>
      <c r="B101" s="10" t="s">
        <v>91</v>
      </c>
      <c r="C101" s="10" t="s">
        <v>87</v>
      </c>
      <c r="D101" s="10" t="s">
        <v>83</v>
      </c>
      <c r="E101" s="10" t="s">
        <v>92</v>
      </c>
    </row>
    <row r="102" customFormat="false" ht="15" hidden="false" customHeight="false" outlineLevel="0" collapsed="false">
      <c r="A102" s="12" t="s">
        <v>52</v>
      </c>
      <c r="B102" s="12" t="s">
        <v>184</v>
      </c>
      <c r="C102" s="12" t="s">
        <v>103</v>
      </c>
      <c r="D102" s="12" t="s">
        <v>83</v>
      </c>
      <c r="E102" s="12"/>
    </row>
    <row r="103" customFormat="false" ht="15" hidden="false" customHeight="false" outlineLevel="0" collapsed="false">
      <c r="A103" s="10" t="s">
        <v>52</v>
      </c>
      <c r="B103" s="10" t="s">
        <v>185</v>
      </c>
      <c r="C103" s="10" t="s">
        <v>115</v>
      </c>
      <c r="D103" s="10"/>
      <c r="E103" s="10"/>
    </row>
    <row r="104" customFormat="false" ht="15" hidden="false" customHeight="false" outlineLevel="0" collapsed="false">
      <c r="A104" s="12" t="s">
        <v>52</v>
      </c>
      <c r="B104" s="12" t="s">
        <v>186</v>
      </c>
      <c r="C104" s="12" t="s">
        <v>115</v>
      </c>
      <c r="D104" s="12"/>
      <c r="E104" s="12"/>
    </row>
    <row r="105" customFormat="false" ht="15" hidden="false" customHeight="false" outlineLevel="0" collapsed="false">
      <c r="A105" s="10" t="s">
        <v>52</v>
      </c>
      <c r="B105" s="10" t="s">
        <v>187</v>
      </c>
      <c r="C105" s="10" t="s">
        <v>85</v>
      </c>
      <c r="D105" s="10"/>
      <c r="E105" s="10"/>
    </row>
    <row r="106" customFormat="false" ht="15" hidden="false" customHeight="false" outlineLevel="0" collapsed="false">
      <c r="A106" s="12" t="s">
        <v>52</v>
      </c>
      <c r="B106" s="12" t="s">
        <v>180</v>
      </c>
      <c r="C106" s="12" t="s">
        <v>87</v>
      </c>
      <c r="D106" s="12"/>
      <c r="E106" s="12"/>
    </row>
    <row r="107" customFormat="false" ht="15" hidden="false" customHeight="false" outlineLevel="0" collapsed="false">
      <c r="A107" s="10" t="s">
        <v>52</v>
      </c>
      <c r="B107" s="10" t="s">
        <v>181</v>
      </c>
      <c r="C107" s="10" t="s">
        <v>89</v>
      </c>
      <c r="D107" s="10" t="s">
        <v>83</v>
      </c>
      <c r="E107" s="10" t="s">
        <v>90</v>
      </c>
    </row>
    <row r="108" customFormat="false" ht="15" hidden="false" customHeight="false" outlineLevel="0" collapsed="false">
      <c r="A108" s="12" t="s">
        <v>54</v>
      </c>
      <c r="B108" s="12" t="s">
        <v>91</v>
      </c>
      <c r="C108" s="12" t="s">
        <v>87</v>
      </c>
      <c r="D108" s="12" t="s">
        <v>83</v>
      </c>
      <c r="E108" s="12" t="s">
        <v>92</v>
      </c>
    </row>
    <row r="109" customFormat="false" ht="15" hidden="false" customHeight="false" outlineLevel="0" collapsed="false">
      <c r="A109" s="10" t="s">
        <v>54</v>
      </c>
      <c r="B109" s="10" t="s">
        <v>184</v>
      </c>
      <c r="C109" s="10" t="s">
        <v>103</v>
      </c>
      <c r="D109" s="10" t="s">
        <v>83</v>
      </c>
      <c r="E109" s="10"/>
    </row>
    <row r="110" customFormat="false" ht="15" hidden="false" customHeight="false" outlineLevel="0" collapsed="false">
      <c r="A110" s="12" t="s">
        <v>54</v>
      </c>
      <c r="B110" s="12" t="s">
        <v>188</v>
      </c>
      <c r="C110" s="12" t="s">
        <v>85</v>
      </c>
      <c r="D110" s="12"/>
      <c r="E110" s="12"/>
    </row>
    <row r="111" customFormat="false" ht="15" hidden="false" customHeight="false" outlineLevel="0" collapsed="false">
      <c r="A111" s="10" t="s">
        <v>54</v>
      </c>
      <c r="B111" s="10" t="s">
        <v>180</v>
      </c>
      <c r="C111" s="10" t="s">
        <v>87</v>
      </c>
      <c r="D111" s="10"/>
      <c r="E111" s="10"/>
    </row>
    <row r="112" customFormat="false" ht="15" hidden="false" customHeight="false" outlineLevel="0" collapsed="false">
      <c r="A112" s="12" t="s">
        <v>54</v>
      </c>
      <c r="B112" s="12" t="s">
        <v>181</v>
      </c>
      <c r="C112" s="12" t="s">
        <v>89</v>
      </c>
      <c r="D112" s="12" t="s">
        <v>83</v>
      </c>
      <c r="E112" s="12" t="s">
        <v>90</v>
      </c>
    </row>
    <row r="113" customFormat="false" ht="15" hidden="false" customHeight="false" outlineLevel="0" collapsed="false">
      <c r="A113" s="10" t="s">
        <v>56</v>
      </c>
      <c r="B113" s="10" t="s">
        <v>91</v>
      </c>
      <c r="C113" s="10" t="s">
        <v>87</v>
      </c>
      <c r="D113" s="10" t="s">
        <v>83</v>
      </c>
      <c r="E113" s="10" t="s">
        <v>92</v>
      </c>
    </row>
    <row r="114" customFormat="false" ht="15" hidden="false" customHeight="false" outlineLevel="0" collapsed="false">
      <c r="A114" s="12" t="s">
        <v>56</v>
      </c>
      <c r="B114" s="12" t="s">
        <v>184</v>
      </c>
      <c r="C114" s="12" t="s">
        <v>103</v>
      </c>
      <c r="D114" s="12" t="s">
        <v>83</v>
      </c>
      <c r="E114" s="12"/>
    </row>
    <row r="115" customFormat="false" ht="15" hidden="false" customHeight="false" outlineLevel="0" collapsed="false">
      <c r="A115" s="10" t="s">
        <v>56</v>
      </c>
      <c r="B115" s="10" t="s">
        <v>189</v>
      </c>
      <c r="C115" s="10" t="s">
        <v>82</v>
      </c>
      <c r="D115" s="10" t="s">
        <v>83</v>
      </c>
      <c r="E115" s="10"/>
    </row>
    <row r="116" customFormat="false" ht="15" hidden="false" customHeight="false" outlineLevel="0" collapsed="false">
      <c r="A116" s="12" t="s">
        <v>56</v>
      </c>
      <c r="B116" s="12" t="s">
        <v>190</v>
      </c>
      <c r="C116" s="12" t="s">
        <v>115</v>
      </c>
      <c r="D116" s="12"/>
      <c r="E116" s="12"/>
    </row>
    <row r="117" customFormat="false" ht="15" hidden="false" customHeight="false" outlineLevel="0" collapsed="false">
      <c r="A117" s="10" t="s">
        <v>56</v>
      </c>
      <c r="B117" s="10" t="s">
        <v>191</v>
      </c>
      <c r="C117" s="10" t="s">
        <v>115</v>
      </c>
      <c r="D117" s="10"/>
      <c r="E117" s="10"/>
    </row>
    <row r="118" customFormat="false" ht="15" hidden="false" customHeight="false" outlineLevel="0" collapsed="false">
      <c r="A118" s="12" t="s">
        <v>56</v>
      </c>
      <c r="B118" s="12" t="s">
        <v>192</v>
      </c>
      <c r="C118" s="12" t="s">
        <v>115</v>
      </c>
      <c r="D118" s="12"/>
      <c r="E118" s="12"/>
    </row>
    <row r="119" customFormat="false" ht="15" hidden="false" customHeight="false" outlineLevel="0" collapsed="false">
      <c r="A119" s="10" t="s">
        <v>56</v>
      </c>
      <c r="B119" s="10" t="s">
        <v>193</v>
      </c>
      <c r="C119" s="10" t="s">
        <v>115</v>
      </c>
      <c r="D119" s="10"/>
      <c r="E119" s="10"/>
    </row>
    <row r="120" customFormat="false" ht="15" hidden="false" customHeight="false" outlineLevel="0" collapsed="false">
      <c r="A120" s="12" t="s">
        <v>56</v>
      </c>
      <c r="B120" s="12" t="s">
        <v>194</v>
      </c>
      <c r="C120" s="12" t="s">
        <v>115</v>
      </c>
      <c r="D120" s="12"/>
      <c r="E120" s="12"/>
    </row>
    <row r="121" customFormat="false" ht="15" hidden="false" customHeight="false" outlineLevel="0" collapsed="false">
      <c r="A121" s="10" t="s">
        <v>56</v>
      </c>
      <c r="B121" s="10" t="s">
        <v>180</v>
      </c>
      <c r="C121" s="10" t="s">
        <v>87</v>
      </c>
      <c r="D121" s="10"/>
      <c r="E121" s="10"/>
    </row>
    <row r="122" customFormat="false" ht="15" hidden="false" customHeight="false" outlineLevel="0" collapsed="false">
      <c r="A122" s="12" t="s">
        <v>56</v>
      </c>
      <c r="B122" s="12" t="s">
        <v>181</v>
      </c>
      <c r="C122" s="12" t="s">
        <v>89</v>
      </c>
      <c r="D122" s="12" t="s">
        <v>83</v>
      </c>
      <c r="E122" s="12" t="s">
        <v>90</v>
      </c>
    </row>
    <row r="123" customFormat="false" ht="15" hidden="false" customHeight="false" outlineLevel="0" collapsed="false">
      <c r="A123" s="10" t="s">
        <v>58</v>
      </c>
      <c r="B123" s="10" t="s">
        <v>91</v>
      </c>
      <c r="C123" s="10" t="s">
        <v>87</v>
      </c>
      <c r="D123" s="10" t="s">
        <v>83</v>
      </c>
      <c r="E123" s="10" t="s">
        <v>92</v>
      </c>
    </row>
    <row r="124" customFormat="false" ht="15" hidden="false" customHeight="false" outlineLevel="0" collapsed="false">
      <c r="A124" s="12" t="s">
        <v>58</v>
      </c>
      <c r="B124" s="12" t="s">
        <v>195</v>
      </c>
      <c r="C124" s="12" t="s">
        <v>103</v>
      </c>
      <c r="D124" s="12" t="s">
        <v>83</v>
      </c>
      <c r="E124" s="12"/>
    </row>
    <row r="125" customFormat="false" ht="15" hidden="false" customHeight="false" outlineLevel="0" collapsed="false">
      <c r="A125" s="10" t="s">
        <v>58</v>
      </c>
      <c r="B125" s="10" t="s">
        <v>196</v>
      </c>
      <c r="C125" s="10" t="s">
        <v>106</v>
      </c>
      <c r="D125" s="10"/>
      <c r="E125" s="10"/>
    </row>
    <row r="126" customFormat="false" ht="15" hidden="false" customHeight="false" outlineLevel="0" collapsed="false">
      <c r="A126" s="12" t="s">
        <v>58</v>
      </c>
      <c r="B126" s="12" t="s">
        <v>197</v>
      </c>
      <c r="C126" s="12" t="s">
        <v>115</v>
      </c>
      <c r="D126" s="12"/>
      <c r="E126" s="12"/>
    </row>
    <row r="127" customFormat="false" ht="15" hidden="false" customHeight="false" outlineLevel="0" collapsed="false">
      <c r="A127" s="10" t="s">
        <v>58</v>
      </c>
      <c r="B127" s="10" t="s">
        <v>198</v>
      </c>
      <c r="C127" s="10" t="s">
        <v>115</v>
      </c>
      <c r="D127" s="10"/>
      <c r="E127" s="10"/>
    </row>
    <row r="128" customFormat="false" ht="15" hidden="false" customHeight="false" outlineLevel="0" collapsed="false">
      <c r="A128" s="12" t="s">
        <v>58</v>
      </c>
      <c r="B128" s="12" t="s">
        <v>199</v>
      </c>
      <c r="C128" s="12" t="s">
        <v>85</v>
      </c>
      <c r="D128" s="12"/>
      <c r="E128" s="12"/>
    </row>
    <row r="129" customFormat="false" ht="15" hidden="false" customHeight="false" outlineLevel="0" collapsed="false">
      <c r="A129" s="10" t="s">
        <v>58</v>
      </c>
      <c r="B129" s="10" t="s">
        <v>180</v>
      </c>
      <c r="C129" s="10" t="s">
        <v>87</v>
      </c>
      <c r="D129" s="10"/>
      <c r="E129" s="10"/>
    </row>
    <row r="130" customFormat="false" ht="15" hidden="false" customHeight="false" outlineLevel="0" collapsed="false">
      <c r="A130" s="12" t="s">
        <v>58</v>
      </c>
      <c r="B130" s="12" t="s">
        <v>181</v>
      </c>
      <c r="C130" s="12" t="s">
        <v>89</v>
      </c>
      <c r="D130" s="12" t="s">
        <v>83</v>
      </c>
      <c r="E130" s="12" t="s">
        <v>90</v>
      </c>
    </row>
    <row r="131" customFormat="false" ht="15" hidden="false" customHeight="false" outlineLevel="0" collapsed="false">
      <c r="A131" s="10" t="s">
        <v>60</v>
      </c>
      <c r="B131" s="10" t="s">
        <v>91</v>
      </c>
      <c r="C131" s="10" t="s">
        <v>87</v>
      </c>
      <c r="D131" s="10" t="s">
        <v>83</v>
      </c>
      <c r="E131" s="10" t="s">
        <v>92</v>
      </c>
    </row>
    <row r="132" customFormat="false" ht="15" hidden="false" customHeight="false" outlineLevel="0" collapsed="false">
      <c r="A132" s="12" t="s">
        <v>60</v>
      </c>
      <c r="B132" s="12" t="s">
        <v>200</v>
      </c>
      <c r="C132" s="12" t="s">
        <v>82</v>
      </c>
      <c r="D132" s="12" t="s">
        <v>83</v>
      </c>
      <c r="E132" s="12"/>
    </row>
    <row r="133" customFormat="false" ht="15" hidden="false" customHeight="false" outlineLevel="0" collapsed="false">
      <c r="A133" s="10" t="s">
        <v>60</v>
      </c>
      <c r="B133" s="10" t="s">
        <v>163</v>
      </c>
      <c r="C133" s="10" t="s">
        <v>126</v>
      </c>
      <c r="D133" s="10" t="s">
        <v>83</v>
      </c>
      <c r="E133" s="10" t="s">
        <v>164</v>
      </c>
    </row>
    <row r="134" customFormat="false" ht="15" hidden="false" customHeight="false" outlineLevel="0" collapsed="false">
      <c r="A134" s="12" t="s">
        <v>60</v>
      </c>
      <c r="B134" s="12" t="s">
        <v>165</v>
      </c>
      <c r="C134" s="12" t="s">
        <v>87</v>
      </c>
      <c r="D134" s="12"/>
      <c r="E134" s="12"/>
    </row>
    <row r="135" customFormat="false" ht="15" hidden="false" customHeight="false" outlineLevel="0" collapsed="false">
      <c r="A135" s="10" t="s">
        <v>60</v>
      </c>
      <c r="B135" s="10" t="s">
        <v>139</v>
      </c>
      <c r="C135" s="10" t="s">
        <v>89</v>
      </c>
      <c r="D135" s="10" t="s">
        <v>83</v>
      </c>
      <c r="E135" s="10" t="s">
        <v>90</v>
      </c>
    </row>
    <row r="136" customFormat="false" ht="15" hidden="false" customHeight="false" outlineLevel="0" collapsed="false">
      <c r="A136" s="12" t="s">
        <v>62</v>
      </c>
      <c r="B136" s="12" t="s">
        <v>91</v>
      </c>
      <c r="C136" s="12" t="s">
        <v>87</v>
      </c>
      <c r="D136" s="12" t="s">
        <v>83</v>
      </c>
      <c r="E136" s="12"/>
    </row>
    <row r="137" customFormat="false" ht="15" hidden="false" customHeight="false" outlineLevel="0" collapsed="false">
      <c r="A137" s="10" t="s">
        <v>62</v>
      </c>
      <c r="B137" s="10" t="s">
        <v>201</v>
      </c>
      <c r="C137" s="10" t="s">
        <v>82</v>
      </c>
      <c r="D137" s="10"/>
      <c r="E137" s="10"/>
    </row>
    <row r="138" customFormat="false" ht="15" hidden="false" customHeight="false" outlineLevel="0" collapsed="false">
      <c r="A138" s="12" t="s">
        <v>62</v>
      </c>
      <c r="B138" s="12" t="s">
        <v>202</v>
      </c>
      <c r="C138" s="12" t="s">
        <v>82</v>
      </c>
      <c r="D138" s="12"/>
      <c r="E138" s="12"/>
    </row>
    <row r="139" customFormat="false" ht="15" hidden="false" customHeight="false" outlineLevel="0" collapsed="false">
      <c r="A139" s="10" t="s">
        <v>62</v>
      </c>
      <c r="B139" s="10" t="s">
        <v>203</v>
      </c>
      <c r="C139" s="10" t="s">
        <v>82</v>
      </c>
      <c r="D139" s="10" t="s">
        <v>83</v>
      </c>
      <c r="E139" s="10" t="s">
        <v>204</v>
      </c>
    </row>
    <row r="140" customFormat="false" ht="15" hidden="false" customHeight="false" outlineLevel="0" collapsed="false">
      <c r="A140" s="12" t="s">
        <v>62</v>
      </c>
      <c r="B140" s="12" t="s">
        <v>163</v>
      </c>
      <c r="C140" s="12" t="s">
        <v>126</v>
      </c>
      <c r="D140" s="12" t="s">
        <v>83</v>
      </c>
      <c r="E140" s="12" t="s">
        <v>164</v>
      </c>
    </row>
    <row r="141" customFormat="false" ht="15" hidden="false" customHeight="false" outlineLevel="0" collapsed="false">
      <c r="A141" s="10" t="s">
        <v>62</v>
      </c>
      <c r="B141" s="10" t="s">
        <v>205</v>
      </c>
      <c r="C141" s="10" t="s">
        <v>87</v>
      </c>
      <c r="D141" s="10"/>
      <c r="E141" s="10"/>
    </row>
    <row r="142" customFormat="false" ht="15" hidden="false" customHeight="false" outlineLevel="0" collapsed="false">
      <c r="A142" s="12" t="s">
        <v>62</v>
      </c>
      <c r="B142" s="12" t="s">
        <v>139</v>
      </c>
      <c r="C142" s="12" t="s">
        <v>89</v>
      </c>
      <c r="D142" s="12" t="s">
        <v>83</v>
      </c>
      <c r="E142" s="12" t="s">
        <v>90</v>
      </c>
    </row>
    <row r="143" customFormat="false" ht="15" hidden="false" customHeight="false" outlineLevel="0" collapsed="false">
      <c r="A143" s="10" t="s">
        <v>64</v>
      </c>
      <c r="B143" s="10" t="s">
        <v>91</v>
      </c>
      <c r="C143" s="10" t="s">
        <v>87</v>
      </c>
      <c r="D143" s="10" t="s">
        <v>83</v>
      </c>
      <c r="E143" s="10" t="s">
        <v>92</v>
      </c>
    </row>
    <row r="144" customFormat="false" ht="15" hidden="false" customHeight="false" outlineLevel="0" collapsed="false">
      <c r="A144" s="12" t="s">
        <v>64</v>
      </c>
      <c r="B144" s="12" t="s">
        <v>201</v>
      </c>
      <c r="C144" s="12" t="s">
        <v>82</v>
      </c>
      <c r="D144" s="12" t="s">
        <v>83</v>
      </c>
      <c r="E144" s="12"/>
    </row>
    <row r="145" customFormat="false" ht="15" hidden="false" customHeight="false" outlineLevel="0" collapsed="false">
      <c r="A145" s="10" t="s">
        <v>64</v>
      </c>
      <c r="B145" s="10" t="s">
        <v>200</v>
      </c>
      <c r="C145" s="10" t="s">
        <v>82</v>
      </c>
      <c r="D145" s="10"/>
      <c r="E145" s="10"/>
    </row>
    <row r="146" customFormat="false" ht="15" hidden="false" customHeight="false" outlineLevel="0" collapsed="false">
      <c r="A146" s="12" t="s">
        <v>64</v>
      </c>
      <c r="B146" s="12" t="s">
        <v>163</v>
      </c>
      <c r="C146" s="12" t="s">
        <v>126</v>
      </c>
      <c r="D146" s="12" t="s">
        <v>83</v>
      </c>
      <c r="E146" s="12" t="s">
        <v>164</v>
      </c>
    </row>
    <row r="147" customFormat="false" ht="15" hidden="false" customHeight="false" outlineLevel="0" collapsed="false">
      <c r="A147" s="10" t="s">
        <v>64</v>
      </c>
      <c r="B147" s="10" t="s">
        <v>165</v>
      </c>
      <c r="C147" s="10" t="s">
        <v>87</v>
      </c>
      <c r="D147" s="10"/>
      <c r="E147" s="10"/>
    </row>
    <row r="148" customFormat="false" ht="15" hidden="false" customHeight="false" outlineLevel="0" collapsed="false">
      <c r="A148" s="12" t="s">
        <v>64</v>
      </c>
      <c r="B148" s="12" t="s">
        <v>139</v>
      </c>
      <c r="C148" s="12" t="s">
        <v>89</v>
      </c>
      <c r="D148" s="12" t="s">
        <v>83</v>
      </c>
      <c r="E148" s="12" t="s">
        <v>90</v>
      </c>
    </row>
    <row r="149" customFormat="false" ht="15" hidden="false" customHeight="false" outlineLevel="0" collapsed="false">
      <c r="A149" s="10" t="s">
        <v>66</v>
      </c>
      <c r="B149" s="10" t="s">
        <v>91</v>
      </c>
      <c r="C149" s="10" t="s">
        <v>87</v>
      </c>
      <c r="D149" s="10" t="s">
        <v>83</v>
      </c>
      <c r="E149" s="10" t="s">
        <v>92</v>
      </c>
    </row>
    <row r="150" customFormat="false" ht="15" hidden="false" customHeight="false" outlineLevel="0" collapsed="false">
      <c r="A150" s="12" t="s">
        <v>66</v>
      </c>
      <c r="B150" s="12" t="s">
        <v>173</v>
      </c>
      <c r="C150" s="12" t="s">
        <v>103</v>
      </c>
      <c r="D150" s="12"/>
      <c r="E150" s="12"/>
    </row>
    <row r="151" customFormat="false" ht="15" hidden="false" customHeight="false" outlineLevel="0" collapsed="false">
      <c r="A151" s="10" t="s">
        <v>66</v>
      </c>
      <c r="B151" s="10" t="s">
        <v>206</v>
      </c>
      <c r="C151" s="10" t="s">
        <v>89</v>
      </c>
      <c r="D151" s="10"/>
      <c r="E151" s="10"/>
    </row>
    <row r="152" customFormat="false" ht="15" hidden="false" customHeight="false" outlineLevel="0" collapsed="false">
      <c r="A152" s="12" t="s">
        <v>66</v>
      </c>
      <c r="B152" s="12" t="s">
        <v>178</v>
      </c>
      <c r="C152" s="12" t="s">
        <v>89</v>
      </c>
      <c r="D152" s="12"/>
      <c r="E152" s="12"/>
    </row>
    <row r="153" customFormat="false" ht="15" hidden="false" customHeight="false" outlineLevel="0" collapsed="false">
      <c r="A153" s="10" t="s">
        <v>66</v>
      </c>
      <c r="B153" s="10" t="s">
        <v>108</v>
      </c>
      <c r="C153" s="10" t="s">
        <v>82</v>
      </c>
      <c r="D153" s="10" t="s">
        <v>83</v>
      </c>
      <c r="E153" s="10" t="s">
        <v>174</v>
      </c>
    </row>
    <row r="154" customFormat="false" ht="15" hidden="false" customHeight="false" outlineLevel="0" collapsed="false">
      <c r="A154" s="12" t="s">
        <v>66</v>
      </c>
      <c r="B154" s="12" t="s">
        <v>207</v>
      </c>
      <c r="C154" s="12" t="s">
        <v>106</v>
      </c>
      <c r="D154" s="12"/>
      <c r="E154" s="12"/>
    </row>
    <row r="155" customFormat="false" ht="15" hidden="false" customHeight="false" outlineLevel="0" collapsed="false">
      <c r="A155" s="10" t="s">
        <v>66</v>
      </c>
      <c r="B155" s="10" t="s">
        <v>208</v>
      </c>
      <c r="C155" s="10" t="s">
        <v>106</v>
      </c>
      <c r="D155" s="10"/>
      <c r="E155" s="10"/>
    </row>
    <row r="156" customFormat="false" ht="15" hidden="false" customHeight="false" outlineLevel="0" collapsed="false">
      <c r="A156" s="12" t="s">
        <v>66</v>
      </c>
      <c r="B156" s="12" t="s">
        <v>209</v>
      </c>
      <c r="C156" s="12" t="s">
        <v>85</v>
      </c>
      <c r="D156" s="12"/>
      <c r="E156" s="12"/>
    </row>
    <row r="157" customFormat="false" ht="15" hidden="false" customHeight="false" outlineLevel="0" collapsed="false">
      <c r="A157" s="10" t="s">
        <v>66</v>
      </c>
      <c r="B157" s="10" t="s">
        <v>210</v>
      </c>
      <c r="C157" s="10" t="s">
        <v>82</v>
      </c>
      <c r="D157" s="10"/>
      <c r="E157" s="10"/>
    </row>
    <row r="158" customFormat="false" ht="15" hidden="false" customHeight="false" outlineLevel="0" collapsed="false">
      <c r="A158" s="12" t="s">
        <v>66</v>
      </c>
      <c r="B158" s="12" t="s">
        <v>211</v>
      </c>
      <c r="C158" s="12" t="s">
        <v>87</v>
      </c>
      <c r="D158" s="12"/>
      <c r="E158" s="12"/>
    </row>
    <row r="159" customFormat="false" ht="15" hidden="false" customHeight="false" outlineLevel="0" collapsed="false">
      <c r="A159" s="10" t="s">
        <v>66</v>
      </c>
      <c r="B159" s="10" t="s">
        <v>212</v>
      </c>
      <c r="C159" s="10" t="s">
        <v>85</v>
      </c>
      <c r="D159" s="10"/>
      <c r="E159" s="10"/>
    </row>
    <row r="160" customFormat="false" ht="15" hidden="false" customHeight="false" outlineLevel="0" collapsed="false">
      <c r="A160" s="12" t="s">
        <v>66</v>
      </c>
      <c r="B160" s="12" t="s">
        <v>213</v>
      </c>
      <c r="C160" s="12" t="s">
        <v>89</v>
      </c>
      <c r="D160" s="12"/>
      <c r="E160" s="12"/>
    </row>
    <row r="161" customFormat="false" ht="15" hidden="false" customHeight="false" outlineLevel="0" collapsed="false">
      <c r="A161" s="10" t="s">
        <v>66</v>
      </c>
      <c r="B161" s="10" t="s">
        <v>214</v>
      </c>
      <c r="C161" s="10" t="s">
        <v>87</v>
      </c>
      <c r="D161" s="10"/>
      <c r="E161" s="10"/>
    </row>
    <row r="162" customFormat="false" ht="15" hidden="false" customHeight="false" outlineLevel="0" collapsed="false">
      <c r="A162" s="12" t="s">
        <v>68</v>
      </c>
      <c r="B162" s="12" t="s">
        <v>91</v>
      </c>
      <c r="C162" s="12" t="s">
        <v>87</v>
      </c>
      <c r="D162" s="12" t="s">
        <v>83</v>
      </c>
      <c r="E162" s="12" t="s">
        <v>92</v>
      </c>
    </row>
    <row r="163" customFormat="false" ht="15" hidden="false" customHeight="false" outlineLevel="0" collapsed="false">
      <c r="A163" s="10" t="s">
        <v>68</v>
      </c>
      <c r="B163" s="10" t="s">
        <v>200</v>
      </c>
      <c r="C163" s="10" t="s">
        <v>82</v>
      </c>
      <c r="D163" s="10" t="s">
        <v>83</v>
      </c>
      <c r="E163" s="10"/>
    </row>
    <row r="164" customFormat="false" ht="15" hidden="false" customHeight="false" outlineLevel="0" collapsed="false">
      <c r="A164" s="12" t="s">
        <v>68</v>
      </c>
      <c r="B164" s="12" t="s">
        <v>215</v>
      </c>
      <c r="C164" s="12" t="s">
        <v>82</v>
      </c>
      <c r="D164" s="12"/>
      <c r="E164" s="12"/>
    </row>
    <row r="165" customFormat="false" ht="15" hidden="false" customHeight="false" outlineLevel="0" collapsed="false">
      <c r="A165" s="10" t="s">
        <v>68</v>
      </c>
      <c r="B165" s="10" t="s">
        <v>216</v>
      </c>
      <c r="C165" s="10" t="s">
        <v>82</v>
      </c>
      <c r="D165" s="10"/>
      <c r="E165" s="10"/>
    </row>
    <row r="166" customFormat="false" ht="15" hidden="false" customHeight="false" outlineLevel="0" collapsed="false">
      <c r="A166" s="12" t="s">
        <v>68</v>
      </c>
      <c r="B166" s="12" t="s">
        <v>166</v>
      </c>
      <c r="C166" s="12" t="s">
        <v>82</v>
      </c>
      <c r="D166" s="12"/>
      <c r="E166" s="12"/>
    </row>
    <row r="167" customFormat="false" ht="15" hidden="false" customHeight="false" outlineLevel="0" collapsed="false">
      <c r="A167" s="10" t="s">
        <v>68</v>
      </c>
      <c r="B167" s="10" t="s">
        <v>217</v>
      </c>
      <c r="C167" s="10" t="s">
        <v>82</v>
      </c>
      <c r="D167" s="10"/>
      <c r="E167" s="10"/>
    </row>
    <row r="168" customFormat="false" ht="15" hidden="false" customHeight="false" outlineLevel="0" collapsed="false">
      <c r="A168" s="12" t="s">
        <v>68</v>
      </c>
      <c r="B168" s="12" t="s">
        <v>163</v>
      </c>
      <c r="C168" s="12" t="s">
        <v>126</v>
      </c>
      <c r="D168" s="12" t="s">
        <v>83</v>
      </c>
      <c r="E168" s="12" t="s">
        <v>164</v>
      </c>
    </row>
    <row r="169" customFormat="false" ht="15" hidden="false" customHeight="false" outlineLevel="0" collapsed="false">
      <c r="A169" s="10" t="s">
        <v>68</v>
      </c>
      <c r="B169" s="10" t="s">
        <v>165</v>
      </c>
      <c r="C169" s="10" t="s">
        <v>87</v>
      </c>
      <c r="D169" s="10"/>
      <c r="E169" s="10"/>
    </row>
    <row r="170" customFormat="false" ht="15" hidden="false" customHeight="false" outlineLevel="0" collapsed="false">
      <c r="A170" s="12" t="s">
        <v>68</v>
      </c>
      <c r="B170" s="12" t="s">
        <v>218</v>
      </c>
      <c r="C170" s="12" t="s">
        <v>89</v>
      </c>
      <c r="D170" s="12"/>
      <c r="E170" s="12"/>
    </row>
    <row r="171" customFormat="false" ht="15" hidden="false" customHeight="false" outlineLevel="0" collapsed="false">
      <c r="A171" s="10" t="s">
        <v>68</v>
      </c>
      <c r="B171" s="10" t="s">
        <v>219</v>
      </c>
      <c r="C171" s="10" t="s">
        <v>82</v>
      </c>
      <c r="D171" s="10"/>
      <c r="E171" s="10"/>
    </row>
    <row r="172" customFormat="false" ht="15" hidden="false" customHeight="false" outlineLevel="0" collapsed="false">
      <c r="A172" s="12" t="s">
        <v>68</v>
      </c>
      <c r="B172" s="12" t="s">
        <v>220</v>
      </c>
      <c r="C172" s="12" t="s">
        <v>82</v>
      </c>
      <c r="D172" s="12"/>
      <c r="E172" s="12"/>
    </row>
    <row r="173" customFormat="false" ht="15" hidden="false" customHeight="false" outlineLevel="0" collapsed="false">
      <c r="A173" s="10" t="s">
        <v>68</v>
      </c>
      <c r="B173" s="10" t="s">
        <v>139</v>
      </c>
      <c r="C173" s="10" t="s">
        <v>89</v>
      </c>
      <c r="D173" s="10" t="s">
        <v>83</v>
      </c>
      <c r="E173" s="10" t="s">
        <v>90</v>
      </c>
    </row>
    <row r="174" customFormat="false" ht="15" hidden="false" customHeight="false" outlineLevel="0" collapsed="false">
      <c r="A174" s="12" t="s">
        <v>68</v>
      </c>
      <c r="B174" s="12" t="s">
        <v>221</v>
      </c>
      <c r="C174" s="12" t="s">
        <v>82</v>
      </c>
      <c r="D174" s="12"/>
      <c r="E174" s="12"/>
    </row>
    <row r="175" customFormat="false" ht="15" hidden="false" customHeight="false" outlineLevel="0" collapsed="false">
      <c r="A175" s="10" t="s">
        <v>68</v>
      </c>
      <c r="B175" s="10" t="s">
        <v>222</v>
      </c>
      <c r="C175" s="10" t="s">
        <v>82</v>
      </c>
      <c r="D175" s="10"/>
      <c r="E175" s="10"/>
    </row>
    <row r="176" customFormat="false" ht="15" hidden="false" customHeight="false" outlineLevel="0" collapsed="false">
      <c r="A176" s="12" t="s">
        <v>68</v>
      </c>
      <c r="B176" s="12" t="s">
        <v>223</v>
      </c>
      <c r="C176" s="12" t="s">
        <v>82</v>
      </c>
      <c r="D176" s="12"/>
      <c r="E176" s="12"/>
    </row>
    <row r="177" customFormat="false" ht="15" hidden="false" customHeight="false" outlineLevel="0" collapsed="false">
      <c r="A177" s="10" t="s">
        <v>68</v>
      </c>
      <c r="B177" s="10" t="s">
        <v>224</v>
      </c>
      <c r="C177" s="10" t="s">
        <v>82</v>
      </c>
      <c r="D177" s="10"/>
      <c r="E177" s="10"/>
    </row>
    <row r="178" customFormat="false" ht="15" hidden="false" customHeight="false" outlineLevel="0" collapsed="false">
      <c r="A178" s="12" t="s">
        <v>68</v>
      </c>
      <c r="B178" s="12" t="s">
        <v>225</v>
      </c>
      <c r="C178" s="12" t="s">
        <v>82</v>
      </c>
      <c r="D178" s="12"/>
      <c r="E178" s="12"/>
    </row>
    <row r="179" customFormat="false" ht="15" hidden="false" customHeight="false" outlineLevel="0" collapsed="false">
      <c r="A179" s="10" t="s">
        <v>68</v>
      </c>
      <c r="B179" s="10" t="s">
        <v>226</v>
      </c>
      <c r="C179" s="10" t="s">
        <v>126</v>
      </c>
      <c r="D179" s="10" t="s">
        <v>83</v>
      </c>
      <c r="E179" s="10" t="s">
        <v>164</v>
      </c>
    </row>
    <row r="180" customFormat="false" ht="15" hidden="false" customHeight="false" outlineLevel="0" collapsed="false">
      <c r="A180" s="12" t="s">
        <v>70</v>
      </c>
      <c r="B180" s="12" t="s">
        <v>91</v>
      </c>
      <c r="C180" s="12" t="s">
        <v>87</v>
      </c>
      <c r="D180" s="12" t="s">
        <v>83</v>
      </c>
      <c r="E180" s="12" t="s">
        <v>92</v>
      </c>
    </row>
    <row r="181" customFormat="false" ht="15" hidden="false" customHeight="false" outlineLevel="0" collapsed="false">
      <c r="A181" s="10" t="s">
        <v>70</v>
      </c>
      <c r="B181" s="10" t="s">
        <v>200</v>
      </c>
      <c r="C181" s="10" t="s">
        <v>82</v>
      </c>
      <c r="D181" s="10" t="s">
        <v>83</v>
      </c>
      <c r="E181" s="10"/>
    </row>
    <row r="182" customFormat="false" ht="15" hidden="false" customHeight="false" outlineLevel="0" collapsed="false">
      <c r="A182" s="12" t="s">
        <v>70</v>
      </c>
      <c r="B182" s="12" t="s">
        <v>227</v>
      </c>
      <c r="C182" s="12" t="s">
        <v>82</v>
      </c>
      <c r="D182" s="12"/>
      <c r="E182" s="12"/>
    </row>
    <row r="183" customFormat="false" ht="15" hidden="false" customHeight="false" outlineLevel="0" collapsed="false">
      <c r="A183" s="10" t="s">
        <v>70</v>
      </c>
      <c r="B183" s="10" t="s">
        <v>163</v>
      </c>
      <c r="C183" s="10" t="s">
        <v>126</v>
      </c>
      <c r="D183" s="10" t="s">
        <v>83</v>
      </c>
      <c r="E183" s="10" t="s">
        <v>164</v>
      </c>
    </row>
    <row r="184" customFormat="false" ht="15" hidden="false" customHeight="false" outlineLevel="0" collapsed="false">
      <c r="A184" s="12" t="s">
        <v>70</v>
      </c>
      <c r="B184" s="12" t="s">
        <v>165</v>
      </c>
      <c r="C184" s="12" t="s">
        <v>87</v>
      </c>
      <c r="D184" s="12"/>
      <c r="E184" s="12"/>
    </row>
    <row r="185" customFormat="false" ht="15" hidden="false" customHeight="false" outlineLevel="0" collapsed="false">
      <c r="A185" s="10" t="s">
        <v>70</v>
      </c>
      <c r="B185" s="10" t="s">
        <v>139</v>
      </c>
      <c r="C185" s="10" t="s">
        <v>89</v>
      </c>
      <c r="D185" s="10" t="s">
        <v>83</v>
      </c>
      <c r="E185" s="10" t="s">
        <v>90</v>
      </c>
    </row>
  </sheetData>
  <autoFilter ref="A4:E18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9"/>
    <col collapsed="false" customWidth="true" hidden="false" outlineLevel="0" max="3" min="3" style="0" width="46"/>
    <col collapsed="false" customWidth="true" hidden="false" outlineLevel="0" max="4" min="4" style="0" width="74"/>
  </cols>
  <sheetData>
    <row r="1" customFormat="false" ht="17.35" hidden="false" customHeight="false" outlineLevel="0" collapsed="false">
      <c r="A1" s="8" t="s">
        <v>11</v>
      </c>
    </row>
    <row r="2" customFormat="false" ht="15" hidden="false" customHeight="false" outlineLevel="0" collapsed="false">
      <c r="A2" s="2" t="s">
        <v>228</v>
      </c>
    </row>
    <row r="4" customFormat="false" ht="25.5" hidden="false" customHeight="true" outlineLevel="0" collapsed="false">
      <c r="A4" s="9" t="s">
        <v>76</v>
      </c>
      <c r="B4" s="9" t="s">
        <v>34</v>
      </c>
      <c r="C4" s="9" t="s">
        <v>229</v>
      </c>
      <c r="D4" s="9" t="s">
        <v>230</v>
      </c>
    </row>
    <row r="5" customFormat="false" ht="15" hidden="false" customHeight="false" outlineLevel="0" collapsed="false">
      <c r="A5" s="10" t="s">
        <v>37</v>
      </c>
      <c r="B5" s="10" t="s">
        <v>231</v>
      </c>
      <c r="C5" s="11" t="s">
        <v>232</v>
      </c>
      <c r="D5" s="11" t="s">
        <v>233</v>
      </c>
    </row>
    <row r="6" customFormat="false" ht="15" hidden="false" customHeight="false" outlineLevel="0" collapsed="false">
      <c r="A6" s="12" t="s">
        <v>37</v>
      </c>
      <c r="B6" s="12" t="s">
        <v>234</v>
      </c>
      <c r="C6" s="13" t="s">
        <v>235</v>
      </c>
      <c r="D6" s="13" t="s">
        <v>236</v>
      </c>
    </row>
    <row r="7" customFormat="false" ht="15" hidden="false" customHeight="false" outlineLevel="0" collapsed="false">
      <c r="A7" s="10" t="s">
        <v>40</v>
      </c>
      <c r="B7" s="10" t="s">
        <v>231</v>
      </c>
      <c r="C7" s="11" t="s">
        <v>237</v>
      </c>
      <c r="D7" s="11" t="s">
        <v>238</v>
      </c>
    </row>
    <row r="8" customFormat="false" ht="15" hidden="false" customHeight="false" outlineLevel="0" collapsed="false">
      <c r="A8" s="12" t="s">
        <v>40</v>
      </c>
      <c r="B8" s="12" t="s">
        <v>239</v>
      </c>
      <c r="C8" s="13" t="s">
        <v>240</v>
      </c>
      <c r="D8" s="13" t="s">
        <v>241</v>
      </c>
    </row>
    <row r="9" customFormat="false" ht="15" hidden="false" customHeight="false" outlineLevel="0" collapsed="false">
      <c r="A9" s="10" t="s">
        <v>40</v>
      </c>
      <c r="B9" s="10" t="s">
        <v>239</v>
      </c>
      <c r="C9" s="11" t="s">
        <v>242</v>
      </c>
      <c r="D9" s="11" t="s">
        <v>243</v>
      </c>
    </row>
    <row r="10" customFormat="false" ht="15" hidden="false" customHeight="false" outlineLevel="0" collapsed="false">
      <c r="A10" s="12" t="s">
        <v>40</v>
      </c>
      <c r="B10" s="12" t="s">
        <v>234</v>
      </c>
      <c r="C10" s="13" t="s">
        <v>244</v>
      </c>
      <c r="D10" s="13" t="s">
        <v>245</v>
      </c>
    </row>
    <row r="11" customFormat="false" ht="15" hidden="false" customHeight="false" outlineLevel="0" collapsed="false">
      <c r="A11" s="10" t="s">
        <v>40</v>
      </c>
      <c r="B11" s="10" t="s">
        <v>234</v>
      </c>
      <c r="C11" s="11" t="s">
        <v>246</v>
      </c>
      <c r="D11" s="11" t="s">
        <v>247</v>
      </c>
    </row>
    <row r="12" customFormat="false" ht="15" hidden="false" customHeight="false" outlineLevel="0" collapsed="false">
      <c r="A12" s="12" t="s">
        <v>42</v>
      </c>
      <c r="B12" s="12" t="s">
        <v>231</v>
      </c>
      <c r="C12" s="13" t="s">
        <v>248</v>
      </c>
      <c r="D12" s="13" t="s">
        <v>238</v>
      </c>
    </row>
    <row r="13" customFormat="false" ht="15" hidden="false" customHeight="false" outlineLevel="0" collapsed="false">
      <c r="A13" s="10" t="s">
        <v>42</v>
      </c>
      <c r="B13" s="10" t="s">
        <v>234</v>
      </c>
      <c r="C13" s="11" t="s">
        <v>249</v>
      </c>
      <c r="D13" s="11" t="s">
        <v>250</v>
      </c>
    </row>
    <row r="14" customFormat="false" ht="15" hidden="false" customHeight="false" outlineLevel="0" collapsed="false">
      <c r="A14" s="12" t="s">
        <v>44</v>
      </c>
      <c r="B14" s="12" t="s">
        <v>231</v>
      </c>
      <c r="C14" s="13" t="s">
        <v>251</v>
      </c>
      <c r="D14" s="13" t="s">
        <v>238</v>
      </c>
    </row>
    <row r="15" customFormat="false" ht="15" hidden="false" customHeight="false" outlineLevel="0" collapsed="false">
      <c r="A15" s="10" t="s">
        <v>44</v>
      </c>
      <c r="B15" s="10" t="s">
        <v>239</v>
      </c>
      <c r="C15" s="11" t="s">
        <v>252</v>
      </c>
      <c r="D15" s="11" t="s">
        <v>253</v>
      </c>
    </row>
    <row r="16" customFormat="false" ht="32.8" hidden="false" customHeight="false" outlineLevel="0" collapsed="false">
      <c r="A16" s="12" t="s">
        <v>44</v>
      </c>
      <c r="B16" s="12" t="s">
        <v>239</v>
      </c>
      <c r="C16" s="13" t="s">
        <v>254</v>
      </c>
      <c r="D16" s="13" t="s">
        <v>255</v>
      </c>
    </row>
    <row r="17" customFormat="false" ht="15" hidden="false" customHeight="false" outlineLevel="0" collapsed="false">
      <c r="A17" s="10" t="s">
        <v>44</v>
      </c>
      <c r="B17" s="10" t="s">
        <v>234</v>
      </c>
      <c r="C17" s="11" t="s">
        <v>256</v>
      </c>
      <c r="D17" s="11" t="s">
        <v>257</v>
      </c>
    </row>
    <row r="18" customFormat="false" ht="15" hidden="false" customHeight="false" outlineLevel="0" collapsed="false">
      <c r="A18" s="12" t="s">
        <v>46</v>
      </c>
      <c r="B18" s="12" t="s">
        <v>231</v>
      </c>
      <c r="C18" s="13" t="s">
        <v>258</v>
      </c>
      <c r="D18" s="13" t="s">
        <v>238</v>
      </c>
    </row>
    <row r="19" customFormat="false" ht="15" hidden="false" customHeight="false" outlineLevel="0" collapsed="false">
      <c r="A19" s="10" t="s">
        <v>46</v>
      </c>
      <c r="B19" s="10" t="s">
        <v>259</v>
      </c>
      <c r="C19" s="11" t="s">
        <v>260</v>
      </c>
      <c r="D19" s="11" t="s">
        <v>261</v>
      </c>
    </row>
    <row r="20" customFormat="false" ht="15" hidden="false" customHeight="false" outlineLevel="0" collapsed="false">
      <c r="A20" s="12" t="s">
        <v>46</v>
      </c>
      <c r="B20" s="12" t="s">
        <v>234</v>
      </c>
      <c r="C20" s="13" t="s">
        <v>262</v>
      </c>
      <c r="D20" s="13" t="s">
        <v>236</v>
      </c>
    </row>
    <row r="21" customFormat="false" ht="15" hidden="false" customHeight="false" outlineLevel="0" collapsed="false">
      <c r="A21" s="10" t="s">
        <v>48</v>
      </c>
      <c r="B21" s="10" t="s">
        <v>231</v>
      </c>
      <c r="C21" s="11" t="s">
        <v>263</v>
      </c>
      <c r="D21" s="11" t="s">
        <v>238</v>
      </c>
    </row>
    <row r="22" customFormat="false" ht="15" hidden="false" customHeight="false" outlineLevel="0" collapsed="false">
      <c r="A22" s="12" t="s">
        <v>48</v>
      </c>
      <c r="B22" s="12" t="s">
        <v>259</v>
      </c>
      <c r="C22" s="13" t="s">
        <v>264</v>
      </c>
      <c r="D22" s="13" t="s">
        <v>265</v>
      </c>
    </row>
    <row r="23" customFormat="false" ht="15" hidden="false" customHeight="false" outlineLevel="0" collapsed="false">
      <c r="A23" s="10" t="s">
        <v>48</v>
      </c>
      <c r="B23" s="10" t="s">
        <v>234</v>
      </c>
      <c r="C23" s="11" t="s">
        <v>266</v>
      </c>
      <c r="D23" s="11" t="s">
        <v>267</v>
      </c>
    </row>
    <row r="24" customFormat="false" ht="15" hidden="false" customHeight="false" outlineLevel="0" collapsed="false">
      <c r="A24" s="12" t="s">
        <v>50</v>
      </c>
      <c r="B24" s="12" t="s">
        <v>231</v>
      </c>
      <c r="C24" s="13" t="s">
        <v>268</v>
      </c>
      <c r="D24" s="13" t="s">
        <v>238</v>
      </c>
    </row>
    <row r="25" customFormat="false" ht="15" hidden="false" customHeight="false" outlineLevel="0" collapsed="false">
      <c r="A25" s="10" t="s">
        <v>50</v>
      </c>
      <c r="B25" s="10" t="s">
        <v>259</v>
      </c>
      <c r="C25" s="11" t="s">
        <v>269</v>
      </c>
      <c r="D25" s="11" t="s">
        <v>270</v>
      </c>
    </row>
    <row r="26" customFormat="false" ht="15" hidden="false" customHeight="false" outlineLevel="0" collapsed="false">
      <c r="A26" s="12" t="s">
        <v>50</v>
      </c>
      <c r="B26" s="12" t="s">
        <v>239</v>
      </c>
      <c r="C26" s="13" t="s">
        <v>271</v>
      </c>
      <c r="D26" s="13" t="s">
        <v>272</v>
      </c>
    </row>
    <row r="27" customFormat="false" ht="15" hidden="false" customHeight="false" outlineLevel="0" collapsed="false">
      <c r="A27" s="10" t="s">
        <v>50</v>
      </c>
      <c r="B27" s="10" t="s">
        <v>234</v>
      </c>
      <c r="C27" s="11" t="s">
        <v>273</v>
      </c>
      <c r="D27" s="11" t="s">
        <v>274</v>
      </c>
    </row>
    <row r="28" customFormat="false" ht="15" hidden="false" customHeight="false" outlineLevel="0" collapsed="false">
      <c r="A28" s="12" t="s">
        <v>50</v>
      </c>
      <c r="B28" s="12" t="s">
        <v>234</v>
      </c>
      <c r="C28" s="13" t="s">
        <v>275</v>
      </c>
      <c r="D28" s="13" t="s">
        <v>276</v>
      </c>
    </row>
    <row r="29" customFormat="false" ht="15" hidden="false" customHeight="false" outlineLevel="0" collapsed="false">
      <c r="A29" s="10" t="s">
        <v>52</v>
      </c>
      <c r="B29" s="10" t="s">
        <v>231</v>
      </c>
      <c r="C29" s="11" t="s">
        <v>277</v>
      </c>
      <c r="D29" s="11" t="s">
        <v>238</v>
      </c>
    </row>
    <row r="30" customFormat="false" ht="15" hidden="false" customHeight="false" outlineLevel="0" collapsed="false">
      <c r="A30" s="12" t="s">
        <v>52</v>
      </c>
      <c r="B30" s="12" t="s">
        <v>259</v>
      </c>
      <c r="C30" s="13" t="s">
        <v>278</v>
      </c>
      <c r="D30" s="13" t="s">
        <v>279</v>
      </c>
    </row>
    <row r="31" customFormat="false" ht="15" hidden="false" customHeight="false" outlineLevel="0" collapsed="false">
      <c r="A31" s="10" t="s">
        <v>52</v>
      </c>
      <c r="B31" s="10" t="s">
        <v>234</v>
      </c>
      <c r="C31" s="11" t="s">
        <v>280</v>
      </c>
      <c r="D31" s="11" t="s">
        <v>274</v>
      </c>
    </row>
    <row r="32" customFormat="false" ht="15" hidden="false" customHeight="false" outlineLevel="0" collapsed="false">
      <c r="A32" s="12" t="s">
        <v>54</v>
      </c>
      <c r="B32" s="12" t="s">
        <v>231</v>
      </c>
      <c r="C32" s="13" t="s">
        <v>281</v>
      </c>
      <c r="D32" s="13" t="s">
        <v>238</v>
      </c>
    </row>
    <row r="33" customFormat="false" ht="15" hidden="false" customHeight="false" outlineLevel="0" collapsed="false">
      <c r="A33" s="10" t="s">
        <v>54</v>
      </c>
      <c r="B33" s="10" t="s">
        <v>259</v>
      </c>
      <c r="C33" s="11" t="s">
        <v>282</v>
      </c>
      <c r="D33" s="11" t="s">
        <v>279</v>
      </c>
    </row>
    <row r="34" customFormat="false" ht="15" hidden="false" customHeight="false" outlineLevel="0" collapsed="false">
      <c r="A34" s="12" t="s">
        <v>54</v>
      </c>
      <c r="B34" s="12" t="s">
        <v>234</v>
      </c>
      <c r="C34" s="13" t="s">
        <v>283</v>
      </c>
      <c r="D34" s="13" t="s">
        <v>274</v>
      </c>
    </row>
    <row r="35" customFormat="false" ht="15" hidden="false" customHeight="false" outlineLevel="0" collapsed="false">
      <c r="A35" s="10" t="s">
        <v>56</v>
      </c>
      <c r="B35" s="10" t="s">
        <v>231</v>
      </c>
      <c r="C35" s="11" t="s">
        <v>284</v>
      </c>
      <c r="D35" s="11" t="s">
        <v>238</v>
      </c>
    </row>
    <row r="36" customFormat="false" ht="15" hidden="false" customHeight="false" outlineLevel="0" collapsed="false">
      <c r="A36" s="12" t="s">
        <v>56</v>
      </c>
      <c r="B36" s="12" t="s">
        <v>259</v>
      </c>
      <c r="C36" s="13" t="s">
        <v>285</v>
      </c>
      <c r="D36" s="13" t="s">
        <v>286</v>
      </c>
    </row>
    <row r="37" customFormat="false" ht="15" hidden="false" customHeight="false" outlineLevel="0" collapsed="false">
      <c r="A37" s="10" t="s">
        <v>56</v>
      </c>
      <c r="B37" s="10" t="s">
        <v>234</v>
      </c>
      <c r="C37" s="11" t="s">
        <v>287</v>
      </c>
      <c r="D37" s="11" t="s">
        <v>288</v>
      </c>
    </row>
    <row r="38" customFormat="false" ht="15" hidden="false" customHeight="false" outlineLevel="0" collapsed="false">
      <c r="A38" s="12" t="s">
        <v>56</v>
      </c>
      <c r="B38" s="12" t="s">
        <v>234</v>
      </c>
      <c r="C38" s="13" t="s">
        <v>289</v>
      </c>
      <c r="D38" s="13" t="s">
        <v>274</v>
      </c>
    </row>
    <row r="39" customFormat="false" ht="15" hidden="false" customHeight="false" outlineLevel="0" collapsed="false">
      <c r="A39" s="10" t="s">
        <v>58</v>
      </c>
      <c r="B39" s="10" t="s">
        <v>231</v>
      </c>
      <c r="C39" s="11" t="s">
        <v>290</v>
      </c>
      <c r="D39" s="11" t="s">
        <v>238</v>
      </c>
    </row>
    <row r="40" customFormat="false" ht="15" hidden="false" customHeight="false" outlineLevel="0" collapsed="false">
      <c r="A40" s="12" t="s">
        <v>58</v>
      </c>
      <c r="B40" s="12" t="s">
        <v>259</v>
      </c>
      <c r="C40" s="13" t="s">
        <v>291</v>
      </c>
      <c r="D40" s="13" t="s">
        <v>292</v>
      </c>
    </row>
    <row r="41" customFormat="false" ht="15" hidden="false" customHeight="false" outlineLevel="0" collapsed="false">
      <c r="A41" s="10" t="s">
        <v>58</v>
      </c>
      <c r="B41" s="10" t="s">
        <v>234</v>
      </c>
      <c r="C41" s="11" t="s">
        <v>293</v>
      </c>
      <c r="D41" s="11" t="s">
        <v>274</v>
      </c>
    </row>
    <row r="42" customFormat="false" ht="15" hidden="false" customHeight="false" outlineLevel="0" collapsed="false">
      <c r="A42" s="12" t="s">
        <v>60</v>
      </c>
      <c r="B42" s="12" t="s">
        <v>231</v>
      </c>
      <c r="C42" s="13" t="s">
        <v>294</v>
      </c>
      <c r="D42" s="13" t="s">
        <v>238</v>
      </c>
    </row>
    <row r="43" customFormat="false" ht="15" hidden="false" customHeight="false" outlineLevel="0" collapsed="false">
      <c r="A43" s="10" t="s">
        <v>60</v>
      </c>
      <c r="B43" s="10" t="s">
        <v>259</v>
      </c>
      <c r="C43" s="11" t="s">
        <v>295</v>
      </c>
      <c r="D43" s="11" t="s">
        <v>296</v>
      </c>
    </row>
    <row r="44" customFormat="false" ht="15" hidden="false" customHeight="false" outlineLevel="0" collapsed="false">
      <c r="A44" s="12" t="s">
        <v>60</v>
      </c>
      <c r="B44" s="12" t="s">
        <v>234</v>
      </c>
      <c r="C44" s="13" t="s">
        <v>297</v>
      </c>
      <c r="D44" s="13" t="s">
        <v>267</v>
      </c>
    </row>
    <row r="45" customFormat="false" ht="15" hidden="false" customHeight="false" outlineLevel="0" collapsed="false">
      <c r="A45" s="10" t="s">
        <v>62</v>
      </c>
      <c r="B45" s="10" t="s">
        <v>231</v>
      </c>
      <c r="C45" s="11" t="s">
        <v>298</v>
      </c>
      <c r="D45" s="11" t="s">
        <v>238</v>
      </c>
    </row>
    <row r="46" customFormat="false" ht="15" hidden="false" customHeight="false" outlineLevel="0" collapsed="false">
      <c r="A46" s="12" t="s">
        <v>62</v>
      </c>
      <c r="B46" s="12" t="s">
        <v>239</v>
      </c>
      <c r="C46" s="13" t="s">
        <v>299</v>
      </c>
      <c r="D46" s="13" t="s">
        <v>300</v>
      </c>
    </row>
    <row r="47" customFormat="false" ht="15" hidden="false" customHeight="false" outlineLevel="0" collapsed="false">
      <c r="A47" s="10" t="s">
        <v>62</v>
      </c>
      <c r="B47" s="10" t="s">
        <v>234</v>
      </c>
      <c r="C47" s="11" t="s">
        <v>301</v>
      </c>
      <c r="D47" s="11" t="s">
        <v>302</v>
      </c>
    </row>
    <row r="48" customFormat="false" ht="15" hidden="false" customHeight="false" outlineLevel="0" collapsed="false">
      <c r="A48" s="12" t="s">
        <v>62</v>
      </c>
      <c r="B48" s="12" t="s">
        <v>234</v>
      </c>
      <c r="C48" s="13" t="s">
        <v>303</v>
      </c>
      <c r="D48" s="13" t="s">
        <v>304</v>
      </c>
    </row>
    <row r="49" customFormat="false" ht="15" hidden="false" customHeight="false" outlineLevel="0" collapsed="false">
      <c r="A49" s="10" t="s">
        <v>64</v>
      </c>
      <c r="B49" s="10" t="s">
        <v>231</v>
      </c>
      <c r="C49" s="11" t="s">
        <v>305</v>
      </c>
      <c r="D49" s="11" t="s">
        <v>238</v>
      </c>
    </row>
    <row r="50" customFormat="false" ht="15" hidden="false" customHeight="false" outlineLevel="0" collapsed="false">
      <c r="A50" s="12" t="s">
        <v>64</v>
      </c>
      <c r="B50" s="12" t="s">
        <v>234</v>
      </c>
      <c r="C50" s="13" t="s">
        <v>306</v>
      </c>
      <c r="D50" s="13" t="s">
        <v>267</v>
      </c>
    </row>
    <row r="51" customFormat="false" ht="15" hidden="false" customHeight="false" outlineLevel="0" collapsed="false">
      <c r="A51" s="10" t="s">
        <v>66</v>
      </c>
      <c r="B51" s="10" t="s">
        <v>231</v>
      </c>
      <c r="C51" s="11" t="s">
        <v>307</v>
      </c>
      <c r="D51" s="11" t="s">
        <v>238</v>
      </c>
    </row>
    <row r="52" customFormat="false" ht="15" hidden="false" customHeight="false" outlineLevel="0" collapsed="false">
      <c r="A52" s="12" t="s">
        <v>66</v>
      </c>
      <c r="B52" s="12" t="s">
        <v>259</v>
      </c>
      <c r="C52" s="13" t="s">
        <v>308</v>
      </c>
      <c r="D52" s="13" t="s">
        <v>270</v>
      </c>
    </row>
    <row r="53" customFormat="false" ht="15" hidden="false" customHeight="false" outlineLevel="0" collapsed="false">
      <c r="A53" s="10" t="s">
        <v>66</v>
      </c>
      <c r="B53" s="10" t="s">
        <v>239</v>
      </c>
      <c r="C53" s="11" t="s">
        <v>309</v>
      </c>
      <c r="D53" s="11" t="s">
        <v>310</v>
      </c>
    </row>
    <row r="54" customFormat="false" ht="15" hidden="false" customHeight="false" outlineLevel="0" collapsed="false">
      <c r="A54" s="12" t="s">
        <v>66</v>
      </c>
      <c r="B54" s="12" t="s">
        <v>234</v>
      </c>
      <c r="C54" s="13" t="s">
        <v>311</v>
      </c>
      <c r="D54" s="13" t="s">
        <v>312</v>
      </c>
    </row>
    <row r="55" customFormat="false" ht="15" hidden="false" customHeight="false" outlineLevel="0" collapsed="false">
      <c r="A55" s="10" t="s">
        <v>66</v>
      </c>
      <c r="B55" s="10" t="s">
        <v>234</v>
      </c>
      <c r="C55" s="11" t="s">
        <v>313</v>
      </c>
      <c r="D55" s="11" t="s">
        <v>314</v>
      </c>
    </row>
    <row r="56" customFormat="false" ht="15" hidden="false" customHeight="false" outlineLevel="0" collapsed="false">
      <c r="A56" s="12" t="s">
        <v>68</v>
      </c>
      <c r="B56" s="12" t="s">
        <v>231</v>
      </c>
      <c r="C56" s="13" t="s">
        <v>315</v>
      </c>
      <c r="D56" s="13" t="s">
        <v>238</v>
      </c>
    </row>
    <row r="57" customFormat="false" ht="15" hidden="false" customHeight="false" outlineLevel="0" collapsed="false">
      <c r="A57" s="10" t="s">
        <v>68</v>
      </c>
      <c r="B57" s="10" t="s">
        <v>239</v>
      </c>
      <c r="C57" s="11" t="s">
        <v>316</v>
      </c>
      <c r="D57" s="11" t="s">
        <v>317</v>
      </c>
    </row>
    <row r="58" customFormat="false" ht="15" hidden="false" customHeight="false" outlineLevel="0" collapsed="false">
      <c r="A58" s="12" t="s">
        <v>68</v>
      </c>
      <c r="B58" s="12" t="s">
        <v>239</v>
      </c>
      <c r="C58" s="13" t="s">
        <v>318</v>
      </c>
      <c r="D58" s="13" t="s">
        <v>319</v>
      </c>
    </row>
    <row r="59" customFormat="false" ht="15" hidden="false" customHeight="false" outlineLevel="0" collapsed="false">
      <c r="A59" s="10" t="s">
        <v>68</v>
      </c>
      <c r="B59" s="10" t="s">
        <v>234</v>
      </c>
      <c r="C59" s="11" t="s">
        <v>320</v>
      </c>
      <c r="D59" s="11" t="s">
        <v>267</v>
      </c>
    </row>
    <row r="60" customFormat="false" ht="15" hidden="false" customHeight="false" outlineLevel="0" collapsed="false">
      <c r="A60" s="12" t="s">
        <v>70</v>
      </c>
      <c r="B60" s="12" t="s">
        <v>231</v>
      </c>
      <c r="C60" s="13" t="s">
        <v>321</v>
      </c>
      <c r="D60" s="13" t="s">
        <v>238</v>
      </c>
    </row>
    <row r="61" customFormat="false" ht="15" hidden="false" customHeight="false" outlineLevel="0" collapsed="false">
      <c r="A61" s="10" t="s">
        <v>70</v>
      </c>
      <c r="B61" s="10" t="s">
        <v>259</v>
      </c>
      <c r="C61" s="11" t="s">
        <v>322</v>
      </c>
      <c r="D61" s="11" t="s">
        <v>296</v>
      </c>
    </row>
    <row r="62" customFormat="false" ht="15" hidden="false" customHeight="false" outlineLevel="0" collapsed="false">
      <c r="A62" s="12" t="s">
        <v>70</v>
      </c>
      <c r="B62" s="12" t="s">
        <v>234</v>
      </c>
      <c r="C62" s="13" t="s">
        <v>323</v>
      </c>
      <c r="D62" s="13" t="s">
        <v>267</v>
      </c>
    </row>
  </sheetData>
  <autoFilter ref="A4:D6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4"/>
    <col collapsed="false" customWidth="true" hidden="false" outlineLevel="0" max="4" min="3" style="0" width="8"/>
    <col collapsed="false" customWidth="true" hidden="false" outlineLevel="0" max="5" min="5" style="0" width="92"/>
  </cols>
  <sheetData>
    <row r="1" customFormat="false" ht="17.35" hidden="false" customHeight="false" outlineLevel="0" collapsed="false">
      <c r="A1" s="8" t="s">
        <v>12</v>
      </c>
    </row>
    <row r="2" customFormat="false" ht="15" hidden="false" customHeight="false" outlineLevel="0" collapsed="false">
      <c r="A2" s="2" t="s">
        <v>324</v>
      </c>
    </row>
    <row r="4" customFormat="false" ht="25.5" hidden="false" customHeight="true" outlineLevel="0" collapsed="false">
      <c r="A4" s="9" t="s">
        <v>76</v>
      </c>
      <c r="B4" s="9" t="s">
        <v>325</v>
      </c>
      <c r="C4" s="9" t="s">
        <v>326</v>
      </c>
      <c r="D4" s="9" t="s">
        <v>327</v>
      </c>
      <c r="E4" s="9" t="s">
        <v>230</v>
      </c>
    </row>
    <row r="5" customFormat="false" ht="15" hidden="false" customHeight="false" outlineLevel="0" collapsed="false">
      <c r="A5" s="10" t="s">
        <v>37</v>
      </c>
      <c r="B5" s="11" t="s">
        <v>232</v>
      </c>
      <c r="C5" s="10" t="s">
        <v>328</v>
      </c>
      <c r="D5" s="10"/>
      <c r="E5" s="11" t="s">
        <v>329</v>
      </c>
    </row>
    <row r="6" customFormat="false" ht="22.35" hidden="false" customHeight="false" outlineLevel="0" collapsed="false">
      <c r="A6" s="12" t="s">
        <v>40</v>
      </c>
      <c r="B6" s="13" t="s">
        <v>330</v>
      </c>
      <c r="C6" s="12"/>
      <c r="D6" s="12" t="s">
        <v>328</v>
      </c>
      <c r="E6" s="13" t="s">
        <v>331</v>
      </c>
    </row>
    <row r="7" customFormat="false" ht="22.35" hidden="false" customHeight="false" outlineLevel="0" collapsed="false">
      <c r="A7" s="10" t="s">
        <v>40</v>
      </c>
      <c r="B7" s="11" t="s">
        <v>332</v>
      </c>
      <c r="C7" s="10"/>
      <c r="D7" s="10" t="s">
        <v>328</v>
      </c>
      <c r="E7" s="11" t="s">
        <v>333</v>
      </c>
    </row>
    <row r="8" customFormat="false" ht="15" hidden="false" customHeight="false" outlineLevel="0" collapsed="false">
      <c r="A8" s="12" t="s">
        <v>40</v>
      </c>
      <c r="B8" s="13" t="s">
        <v>334</v>
      </c>
      <c r="C8" s="12" t="s">
        <v>328</v>
      </c>
      <c r="D8" s="12"/>
      <c r="E8" s="13" t="s">
        <v>335</v>
      </c>
    </row>
    <row r="9" customFormat="false" ht="15" hidden="false" customHeight="false" outlineLevel="0" collapsed="false">
      <c r="A9" s="10" t="s">
        <v>40</v>
      </c>
      <c r="B9" s="11" t="s">
        <v>336</v>
      </c>
      <c r="C9" s="10"/>
      <c r="D9" s="10"/>
      <c r="E9" s="11" t="s">
        <v>337</v>
      </c>
    </row>
    <row r="10" customFormat="false" ht="15" hidden="false" customHeight="false" outlineLevel="0" collapsed="false">
      <c r="A10" s="12" t="s">
        <v>40</v>
      </c>
      <c r="B10" s="13" t="s">
        <v>237</v>
      </c>
      <c r="C10" s="12" t="s">
        <v>328</v>
      </c>
      <c r="D10" s="12"/>
      <c r="E10" s="13" t="s">
        <v>338</v>
      </c>
    </row>
    <row r="11" customFormat="false" ht="15" hidden="false" customHeight="false" outlineLevel="0" collapsed="false">
      <c r="A11" s="10" t="s">
        <v>40</v>
      </c>
      <c r="B11" s="11" t="s">
        <v>339</v>
      </c>
      <c r="C11" s="10"/>
      <c r="D11" s="10"/>
      <c r="E11" s="11" t="s">
        <v>340</v>
      </c>
    </row>
    <row r="12" customFormat="false" ht="22.35" hidden="false" customHeight="false" outlineLevel="0" collapsed="false">
      <c r="A12" s="12" t="s">
        <v>40</v>
      </c>
      <c r="B12" s="13" t="s">
        <v>341</v>
      </c>
      <c r="C12" s="12"/>
      <c r="D12" s="12" t="s">
        <v>328</v>
      </c>
      <c r="E12" s="13" t="s">
        <v>342</v>
      </c>
    </row>
    <row r="13" customFormat="false" ht="22.35" hidden="false" customHeight="false" outlineLevel="0" collapsed="false">
      <c r="A13" s="10" t="s">
        <v>40</v>
      </c>
      <c r="B13" s="11" t="s">
        <v>343</v>
      </c>
      <c r="C13" s="10"/>
      <c r="D13" s="10" t="s">
        <v>328</v>
      </c>
      <c r="E13" s="11" t="s">
        <v>344</v>
      </c>
    </row>
    <row r="14" customFormat="false" ht="15" hidden="false" customHeight="false" outlineLevel="0" collapsed="false">
      <c r="A14" s="12" t="s">
        <v>40</v>
      </c>
      <c r="B14" s="13" t="s">
        <v>345</v>
      </c>
      <c r="C14" s="12"/>
      <c r="D14" s="12"/>
      <c r="E14" s="13" t="s">
        <v>346</v>
      </c>
    </row>
    <row r="15" customFormat="false" ht="15" hidden="false" customHeight="false" outlineLevel="0" collapsed="false">
      <c r="A15" s="10" t="s">
        <v>40</v>
      </c>
      <c r="B15" s="11" t="s">
        <v>347</v>
      </c>
      <c r="C15" s="10"/>
      <c r="D15" s="10"/>
      <c r="E15" s="11" t="s">
        <v>348</v>
      </c>
    </row>
    <row r="16" customFormat="false" ht="15" hidden="false" customHeight="false" outlineLevel="0" collapsed="false">
      <c r="A16" s="12" t="s">
        <v>42</v>
      </c>
      <c r="B16" s="13" t="s">
        <v>248</v>
      </c>
      <c r="C16" s="12" t="s">
        <v>328</v>
      </c>
      <c r="D16" s="12"/>
      <c r="E16" s="13" t="s">
        <v>349</v>
      </c>
    </row>
    <row r="17" customFormat="false" ht="15" hidden="false" customHeight="false" outlineLevel="0" collapsed="false">
      <c r="A17" s="10" t="s">
        <v>44</v>
      </c>
      <c r="B17" s="11" t="s">
        <v>251</v>
      </c>
      <c r="C17" s="10" t="s">
        <v>328</v>
      </c>
      <c r="D17" s="10"/>
      <c r="E17" s="11" t="s">
        <v>350</v>
      </c>
    </row>
    <row r="18" customFormat="false" ht="15" hidden="false" customHeight="false" outlineLevel="0" collapsed="false">
      <c r="A18" s="12" t="s">
        <v>44</v>
      </c>
      <c r="B18" s="13" t="s">
        <v>351</v>
      </c>
      <c r="C18" s="12"/>
      <c r="D18" s="12"/>
      <c r="E18" s="13" t="s">
        <v>352</v>
      </c>
    </row>
    <row r="19" customFormat="false" ht="15" hidden="false" customHeight="false" outlineLevel="0" collapsed="false">
      <c r="A19" s="10" t="s">
        <v>46</v>
      </c>
      <c r="B19" s="11" t="s">
        <v>258</v>
      </c>
      <c r="C19" s="10" t="s">
        <v>328</v>
      </c>
      <c r="D19" s="10"/>
      <c r="E19" s="11" t="s">
        <v>353</v>
      </c>
    </row>
    <row r="20" customFormat="false" ht="15" hidden="false" customHeight="false" outlineLevel="0" collapsed="false">
      <c r="A20" s="12" t="s">
        <v>46</v>
      </c>
      <c r="B20" s="13" t="s">
        <v>260</v>
      </c>
      <c r="C20" s="12" t="s">
        <v>328</v>
      </c>
      <c r="D20" s="12"/>
      <c r="E20" s="13" t="s">
        <v>354</v>
      </c>
    </row>
    <row r="21" customFormat="false" ht="15" hidden="false" customHeight="false" outlineLevel="0" collapsed="false">
      <c r="A21" s="10" t="s">
        <v>48</v>
      </c>
      <c r="B21" s="11" t="s">
        <v>264</v>
      </c>
      <c r="C21" s="10" t="s">
        <v>328</v>
      </c>
      <c r="D21" s="10"/>
      <c r="E21" s="11" t="s">
        <v>355</v>
      </c>
    </row>
    <row r="22" customFormat="false" ht="15" hidden="false" customHeight="false" outlineLevel="0" collapsed="false">
      <c r="A22" s="12" t="s">
        <v>48</v>
      </c>
      <c r="B22" s="13" t="s">
        <v>263</v>
      </c>
      <c r="C22" s="12" t="s">
        <v>328</v>
      </c>
      <c r="D22" s="12"/>
      <c r="E22" s="13" t="s">
        <v>356</v>
      </c>
    </row>
    <row r="23" customFormat="false" ht="15" hidden="false" customHeight="false" outlineLevel="0" collapsed="false">
      <c r="A23" s="10" t="s">
        <v>50</v>
      </c>
      <c r="B23" s="11" t="s">
        <v>268</v>
      </c>
      <c r="C23" s="10" t="s">
        <v>328</v>
      </c>
      <c r="D23" s="10"/>
      <c r="E23" s="11" t="s">
        <v>357</v>
      </c>
    </row>
    <row r="24" customFormat="false" ht="15" hidden="false" customHeight="false" outlineLevel="0" collapsed="false">
      <c r="A24" s="12" t="s">
        <v>50</v>
      </c>
      <c r="B24" s="13" t="s">
        <v>269</v>
      </c>
      <c r="C24" s="12" t="s">
        <v>328</v>
      </c>
      <c r="D24" s="12"/>
      <c r="E24" s="13" t="s">
        <v>358</v>
      </c>
    </row>
    <row r="25" customFormat="false" ht="15" hidden="false" customHeight="false" outlineLevel="0" collapsed="false">
      <c r="A25" s="10" t="s">
        <v>52</v>
      </c>
      <c r="B25" s="11" t="s">
        <v>278</v>
      </c>
      <c r="C25" s="10" t="s">
        <v>328</v>
      </c>
      <c r="D25" s="10"/>
      <c r="E25" s="11" t="s">
        <v>359</v>
      </c>
    </row>
    <row r="26" customFormat="false" ht="15" hidden="false" customHeight="false" outlineLevel="0" collapsed="false">
      <c r="A26" s="12" t="s">
        <v>52</v>
      </c>
      <c r="B26" s="13" t="s">
        <v>277</v>
      </c>
      <c r="C26" s="12" t="s">
        <v>328</v>
      </c>
      <c r="D26" s="12"/>
      <c r="E26" s="13" t="s">
        <v>360</v>
      </c>
    </row>
    <row r="27" customFormat="false" ht="15" hidden="false" customHeight="false" outlineLevel="0" collapsed="false">
      <c r="A27" s="10" t="s">
        <v>54</v>
      </c>
      <c r="B27" s="11" t="s">
        <v>282</v>
      </c>
      <c r="C27" s="10" t="s">
        <v>328</v>
      </c>
      <c r="D27" s="10"/>
      <c r="E27" s="11" t="s">
        <v>361</v>
      </c>
    </row>
    <row r="28" customFormat="false" ht="15" hidden="false" customHeight="false" outlineLevel="0" collapsed="false">
      <c r="A28" s="12" t="s">
        <v>54</v>
      </c>
      <c r="B28" s="13" t="s">
        <v>281</v>
      </c>
      <c r="C28" s="12" t="s">
        <v>328</v>
      </c>
      <c r="D28" s="12"/>
      <c r="E28" s="13" t="s">
        <v>362</v>
      </c>
    </row>
    <row r="29" customFormat="false" ht="15" hidden="false" customHeight="false" outlineLevel="0" collapsed="false">
      <c r="A29" s="10" t="s">
        <v>56</v>
      </c>
      <c r="B29" s="11" t="s">
        <v>363</v>
      </c>
      <c r="C29" s="10"/>
      <c r="D29" s="10"/>
      <c r="E29" s="11" t="s">
        <v>364</v>
      </c>
    </row>
    <row r="30" customFormat="false" ht="22.35" hidden="false" customHeight="false" outlineLevel="0" collapsed="false">
      <c r="A30" s="12" t="s">
        <v>56</v>
      </c>
      <c r="B30" s="13" t="s">
        <v>285</v>
      </c>
      <c r="C30" s="12" t="s">
        <v>328</v>
      </c>
      <c r="D30" s="12"/>
      <c r="E30" s="13" t="s">
        <v>365</v>
      </c>
    </row>
    <row r="31" customFormat="false" ht="15" hidden="false" customHeight="false" outlineLevel="0" collapsed="false">
      <c r="A31" s="10" t="s">
        <v>56</v>
      </c>
      <c r="B31" s="11" t="s">
        <v>284</v>
      </c>
      <c r="C31" s="10" t="s">
        <v>328</v>
      </c>
      <c r="D31" s="10"/>
      <c r="E31" s="11" t="s">
        <v>366</v>
      </c>
    </row>
    <row r="32" customFormat="false" ht="22.35" hidden="false" customHeight="false" outlineLevel="0" collapsed="false">
      <c r="A32" s="12" t="s">
        <v>58</v>
      </c>
      <c r="B32" s="13" t="s">
        <v>291</v>
      </c>
      <c r="C32" s="12" t="s">
        <v>328</v>
      </c>
      <c r="D32" s="12"/>
      <c r="E32" s="13" t="s">
        <v>367</v>
      </c>
    </row>
    <row r="33" customFormat="false" ht="22.35" hidden="false" customHeight="false" outlineLevel="0" collapsed="false">
      <c r="A33" s="10" t="s">
        <v>58</v>
      </c>
      <c r="B33" s="11" t="s">
        <v>290</v>
      </c>
      <c r="C33" s="10" t="s">
        <v>328</v>
      </c>
      <c r="D33" s="10"/>
      <c r="E33" s="11" t="s">
        <v>368</v>
      </c>
    </row>
    <row r="34" customFormat="false" ht="15" hidden="false" customHeight="false" outlineLevel="0" collapsed="false">
      <c r="A34" s="12" t="s">
        <v>60</v>
      </c>
      <c r="B34" s="13" t="s">
        <v>295</v>
      </c>
      <c r="C34" s="12" t="s">
        <v>328</v>
      </c>
      <c r="D34" s="12"/>
      <c r="E34" s="13" t="s">
        <v>369</v>
      </c>
    </row>
    <row r="35" customFormat="false" ht="15" hidden="false" customHeight="false" outlineLevel="0" collapsed="false">
      <c r="A35" s="10" t="s">
        <v>60</v>
      </c>
      <c r="B35" s="11" t="s">
        <v>294</v>
      </c>
      <c r="C35" s="10" t="s">
        <v>328</v>
      </c>
      <c r="D35" s="10"/>
      <c r="E35" s="11" t="s">
        <v>370</v>
      </c>
    </row>
    <row r="36" customFormat="false" ht="15" hidden="false" customHeight="false" outlineLevel="0" collapsed="false">
      <c r="A36" s="12" t="s">
        <v>62</v>
      </c>
      <c r="B36" s="13" t="s">
        <v>298</v>
      </c>
      <c r="C36" s="12" t="s">
        <v>328</v>
      </c>
      <c r="D36" s="12"/>
      <c r="E36" s="13" t="s">
        <v>371</v>
      </c>
    </row>
    <row r="37" customFormat="false" ht="15" hidden="false" customHeight="false" outlineLevel="0" collapsed="false">
      <c r="A37" s="10" t="s">
        <v>64</v>
      </c>
      <c r="B37" s="11" t="s">
        <v>305</v>
      </c>
      <c r="C37" s="10" t="s">
        <v>328</v>
      </c>
      <c r="D37" s="10"/>
      <c r="E37" s="11" t="s">
        <v>372</v>
      </c>
    </row>
    <row r="38" customFormat="false" ht="15" hidden="false" customHeight="false" outlineLevel="0" collapsed="false">
      <c r="A38" s="12" t="s">
        <v>66</v>
      </c>
      <c r="B38" s="13" t="s">
        <v>307</v>
      </c>
      <c r="C38" s="12" t="s">
        <v>328</v>
      </c>
      <c r="D38" s="12"/>
      <c r="E38" s="13" t="s">
        <v>373</v>
      </c>
    </row>
    <row r="39" customFormat="false" ht="15" hidden="false" customHeight="false" outlineLevel="0" collapsed="false">
      <c r="A39" s="10" t="s">
        <v>66</v>
      </c>
      <c r="B39" s="11" t="s">
        <v>374</v>
      </c>
      <c r="C39" s="10"/>
      <c r="D39" s="10"/>
      <c r="E39" s="11" t="s">
        <v>375</v>
      </c>
    </row>
    <row r="40" customFormat="false" ht="15" hidden="false" customHeight="false" outlineLevel="0" collapsed="false">
      <c r="A40" s="12" t="s">
        <v>66</v>
      </c>
      <c r="B40" s="13" t="s">
        <v>308</v>
      </c>
      <c r="C40" s="12" t="s">
        <v>328</v>
      </c>
      <c r="D40" s="12"/>
      <c r="E40" s="13" t="s">
        <v>376</v>
      </c>
    </row>
    <row r="41" customFormat="false" ht="15" hidden="false" customHeight="false" outlineLevel="0" collapsed="false">
      <c r="A41" s="10" t="s">
        <v>68</v>
      </c>
      <c r="B41" s="11" t="s">
        <v>377</v>
      </c>
      <c r="C41" s="10"/>
      <c r="D41" s="10"/>
      <c r="E41" s="11" t="s">
        <v>378</v>
      </c>
    </row>
    <row r="42" customFormat="false" ht="15" hidden="false" customHeight="false" outlineLevel="0" collapsed="false">
      <c r="A42" s="12" t="s">
        <v>68</v>
      </c>
      <c r="B42" s="13" t="s">
        <v>379</v>
      </c>
      <c r="C42" s="12"/>
      <c r="D42" s="12"/>
      <c r="E42" s="13" t="s">
        <v>380</v>
      </c>
    </row>
    <row r="43" customFormat="false" ht="15" hidden="false" customHeight="false" outlineLevel="0" collapsed="false">
      <c r="A43" s="10" t="s">
        <v>68</v>
      </c>
      <c r="B43" s="11" t="s">
        <v>315</v>
      </c>
      <c r="C43" s="10" t="s">
        <v>328</v>
      </c>
      <c r="D43" s="10"/>
      <c r="E43" s="11" t="s">
        <v>381</v>
      </c>
    </row>
    <row r="44" customFormat="false" ht="15" hidden="false" customHeight="false" outlineLevel="0" collapsed="false">
      <c r="A44" s="12" t="s">
        <v>70</v>
      </c>
      <c r="B44" s="13" t="s">
        <v>322</v>
      </c>
      <c r="C44" s="12" t="s">
        <v>328</v>
      </c>
      <c r="D44" s="12"/>
      <c r="E44" s="13" t="s">
        <v>382</v>
      </c>
    </row>
    <row r="45" customFormat="false" ht="15" hidden="false" customHeight="false" outlineLevel="0" collapsed="false">
      <c r="A45" s="10" t="s">
        <v>70</v>
      </c>
      <c r="B45" s="11" t="s">
        <v>321</v>
      </c>
      <c r="C45" s="10" t="s">
        <v>328</v>
      </c>
      <c r="D45" s="10"/>
      <c r="E45" s="11" t="s">
        <v>383</v>
      </c>
    </row>
  </sheetData>
  <autoFilter ref="A4:E4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0"/>
    <col collapsed="false" customWidth="true" hidden="false" outlineLevel="0" max="4" min="4" style="0" width="24"/>
    <col collapsed="false" customWidth="true" hidden="false" outlineLevel="0" max="5" min="5" style="0" width="54"/>
  </cols>
  <sheetData>
    <row r="1" customFormat="false" ht="17.35" hidden="false" customHeight="false" outlineLevel="0" collapsed="false">
      <c r="A1" s="8" t="s">
        <v>384</v>
      </c>
    </row>
    <row r="2" customFormat="false" ht="15" hidden="false" customHeight="false" outlineLevel="0" collapsed="false">
      <c r="A2" s="2" t="s">
        <v>385</v>
      </c>
    </row>
    <row r="4" customFormat="false" ht="25.5" hidden="false" customHeight="true" outlineLevel="0" collapsed="false">
      <c r="A4" s="9" t="s">
        <v>76</v>
      </c>
      <c r="B4" s="9" t="s">
        <v>386</v>
      </c>
      <c r="C4" s="9" t="s">
        <v>387</v>
      </c>
      <c r="D4" s="9" t="s">
        <v>388</v>
      </c>
      <c r="E4" s="9" t="s">
        <v>389</v>
      </c>
    </row>
    <row r="5" customFormat="false" ht="15" hidden="false" customHeight="false" outlineLevel="0" collapsed="false">
      <c r="A5" s="10" t="s">
        <v>37</v>
      </c>
      <c r="B5" s="11" t="s">
        <v>390</v>
      </c>
      <c r="C5" s="10" t="s">
        <v>391</v>
      </c>
      <c r="D5" s="10" t="s">
        <v>392</v>
      </c>
      <c r="E5" s="11" t="s">
        <v>392</v>
      </c>
    </row>
    <row r="6" customFormat="false" ht="15" hidden="false" customHeight="false" outlineLevel="0" collapsed="false">
      <c r="A6" s="12" t="s">
        <v>37</v>
      </c>
      <c r="B6" s="13" t="s">
        <v>393</v>
      </c>
      <c r="C6" s="12" t="s">
        <v>394</v>
      </c>
      <c r="D6" s="12" t="s">
        <v>395</v>
      </c>
      <c r="E6" s="13"/>
    </row>
    <row r="7" customFormat="false" ht="15" hidden="false" customHeight="false" outlineLevel="0" collapsed="false">
      <c r="A7" s="10" t="s">
        <v>40</v>
      </c>
      <c r="B7" s="11" t="s">
        <v>396</v>
      </c>
      <c r="C7" s="10" t="s">
        <v>397</v>
      </c>
      <c r="D7" s="10" t="s">
        <v>398</v>
      </c>
      <c r="E7" s="11" t="s">
        <v>398</v>
      </c>
    </row>
    <row r="8" customFormat="false" ht="15" hidden="false" customHeight="false" outlineLevel="0" collapsed="false">
      <c r="A8" s="12" t="s">
        <v>40</v>
      </c>
      <c r="B8" s="13" t="s">
        <v>399</v>
      </c>
      <c r="C8" s="12" t="s">
        <v>394</v>
      </c>
      <c r="D8" s="12" t="s">
        <v>395</v>
      </c>
      <c r="E8" s="13"/>
    </row>
    <row r="9" customFormat="false" ht="15" hidden="false" customHeight="false" outlineLevel="0" collapsed="false">
      <c r="A9" s="10" t="s">
        <v>42</v>
      </c>
      <c r="B9" s="11" t="s">
        <v>400</v>
      </c>
      <c r="C9" s="10" t="s">
        <v>394</v>
      </c>
      <c r="D9" s="10" t="s">
        <v>392</v>
      </c>
      <c r="E9" s="11"/>
    </row>
    <row r="10" customFormat="false" ht="15" hidden="false" customHeight="false" outlineLevel="0" collapsed="false">
      <c r="A10" s="12" t="s">
        <v>42</v>
      </c>
      <c r="B10" s="13" t="s">
        <v>401</v>
      </c>
      <c r="C10" s="12" t="s">
        <v>402</v>
      </c>
      <c r="D10" s="12"/>
      <c r="E10" s="13" t="s">
        <v>403</v>
      </c>
    </row>
    <row r="11" customFormat="false" ht="15" hidden="false" customHeight="false" outlineLevel="0" collapsed="false">
      <c r="A11" s="10" t="s">
        <v>44</v>
      </c>
      <c r="B11" s="11" t="s">
        <v>404</v>
      </c>
      <c r="C11" s="10" t="s">
        <v>394</v>
      </c>
      <c r="D11" s="10" t="s">
        <v>395</v>
      </c>
      <c r="E11" s="11"/>
    </row>
    <row r="12" customFormat="false" ht="15" hidden="false" customHeight="false" outlineLevel="0" collapsed="false">
      <c r="A12" s="12" t="s">
        <v>46</v>
      </c>
      <c r="B12" s="13" t="s">
        <v>405</v>
      </c>
      <c r="C12" s="12" t="s">
        <v>394</v>
      </c>
      <c r="D12" s="12" t="s">
        <v>398</v>
      </c>
      <c r="E12" s="13"/>
    </row>
    <row r="13" customFormat="false" ht="15" hidden="false" customHeight="false" outlineLevel="0" collapsed="false">
      <c r="A13" s="10" t="s">
        <v>46</v>
      </c>
      <c r="B13" s="11" t="s">
        <v>406</v>
      </c>
      <c r="C13" s="10" t="s">
        <v>397</v>
      </c>
      <c r="D13" s="10" t="s">
        <v>392</v>
      </c>
      <c r="E13" s="11" t="s">
        <v>392</v>
      </c>
    </row>
    <row r="14" customFormat="false" ht="15" hidden="false" customHeight="false" outlineLevel="0" collapsed="false">
      <c r="A14" s="12" t="s">
        <v>48</v>
      </c>
      <c r="B14" s="13" t="s">
        <v>407</v>
      </c>
      <c r="C14" s="12" t="s">
        <v>391</v>
      </c>
      <c r="D14" s="12" t="s">
        <v>392</v>
      </c>
      <c r="E14" s="13" t="s">
        <v>392</v>
      </c>
    </row>
    <row r="15" customFormat="false" ht="15" hidden="false" customHeight="false" outlineLevel="0" collapsed="false">
      <c r="A15" s="10" t="s">
        <v>48</v>
      </c>
      <c r="B15" s="11" t="s">
        <v>408</v>
      </c>
      <c r="C15" s="10" t="s">
        <v>394</v>
      </c>
      <c r="D15" s="10" t="s">
        <v>395</v>
      </c>
      <c r="E15" s="11"/>
    </row>
    <row r="16" customFormat="false" ht="15" hidden="false" customHeight="false" outlineLevel="0" collapsed="false">
      <c r="A16" s="12" t="s">
        <v>50</v>
      </c>
      <c r="B16" s="13" t="s">
        <v>409</v>
      </c>
      <c r="C16" s="12" t="s">
        <v>391</v>
      </c>
      <c r="D16" s="12" t="s">
        <v>398</v>
      </c>
      <c r="E16" s="13" t="s">
        <v>398</v>
      </c>
    </row>
    <row r="17" customFormat="false" ht="15" hidden="false" customHeight="false" outlineLevel="0" collapsed="false">
      <c r="A17" s="10" t="s">
        <v>50</v>
      </c>
      <c r="B17" s="11" t="s">
        <v>410</v>
      </c>
      <c r="C17" s="10" t="s">
        <v>394</v>
      </c>
      <c r="D17" s="10" t="s">
        <v>395</v>
      </c>
      <c r="E17" s="11"/>
    </row>
    <row r="18" customFormat="false" ht="15" hidden="false" customHeight="false" outlineLevel="0" collapsed="false">
      <c r="A18" s="12" t="s">
        <v>52</v>
      </c>
      <c r="B18" s="13" t="s">
        <v>411</v>
      </c>
      <c r="C18" s="12" t="s">
        <v>391</v>
      </c>
      <c r="D18" s="12" t="s">
        <v>398</v>
      </c>
      <c r="E18" s="13" t="s">
        <v>398</v>
      </c>
    </row>
    <row r="19" customFormat="false" ht="15" hidden="false" customHeight="false" outlineLevel="0" collapsed="false">
      <c r="A19" s="10" t="s">
        <v>52</v>
      </c>
      <c r="B19" s="11" t="s">
        <v>412</v>
      </c>
      <c r="C19" s="10" t="s">
        <v>394</v>
      </c>
      <c r="D19" s="10" t="s">
        <v>395</v>
      </c>
      <c r="E19" s="11"/>
    </row>
    <row r="20" customFormat="false" ht="15" hidden="false" customHeight="false" outlineLevel="0" collapsed="false">
      <c r="A20" s="12" t="s">
        <v>54</v>
      </c>
      <c r="B20" s="13" t="s">
        <v>413</v>
      </c>
      <c r="C20" s="12" t="s">
        <v>391</v>
      </c>
      <c r="D20" s="12" t="s">
        <v>398</v>
      </c>
      <c r="E20" s="13" t="s">
        <v>398</v>
      </c>
    </row>
    <row r="21" customFormat="false" ht="15" hidden="false" customHeight="false" outlineLevel="0" collapsed="false">
      <c r="A21" s="10" t="s">
        <v>54</v>
      </c>
      <c r="B21" s="11" t="s">
        <v>414</v>
      </c>
      <c r="C21" s="10" t="s">
        <v>394</v>
      </c>
      <c r="D21" s="10" t="s">
        <v>395</v>
      </c>
      <c r="E21" s="11"/>
    </row>
    <row r="22" customFormat="false" ht="15" hidden="false" customHeight="false" outlineLevel="0" collapsed="false">
      <c r="A22" s="12" t="s">
        <v>56</v>
      </c>
      <c r="B22" s="13" t="s">
        <v>415</v>
      </c>
      <c r="C22" s="12" t="s">
        <v>391</v>
      </c>
      <c r="D22" s="12" t="s">
        <v>398</v>
      </c>
      <c r="E22" s="13" t="s">
        <v>398</v>
      </c>
    </row>
    <row r="23" customFormat="false" ht="15" hidden="false" customHeight="false" outlineLevel="0" collapsed="false">
      <c r="A23" s="10" t="s">
        <v>56</v>
      </c>
      <c r="B23" s="11" t="s">
        <v>416</v>
      </c>
      <c r="C23" s="10" t="s">
        <v>394</v>
      </c>
      <c r="D23" s="10" t="s">
        <v>395</v>
      </c>
      <c r="E23" s="11"/>
    </row>
    <row r="24" customFormat="false" ht="15" hidden="false" customHeight="false" outlineLevel="0" collapsed="false">
      <c r="A24" s="12" t="s">
        <v>58</v>
      </c>
      <c r="B24" s="13" t="s">
        <v>417</v>
      </c>
      <c r="C24" s="12" t="s">
        <v>391</v>
      </c>
      <c r="D24" s="12" t="s">
        <v>398</v>
      </c>
      <c r="E24" s="13" t="s">
        <v>398</v>
      </c>
    </row>
    <row r="25" customFormat="false" ht="15" hidden="false" customHeight="false" outlineLevel="0" collapsed="false">
      <c r="A25" s="10" t="s">
        <v>58</v>
      </c>
      <c r="B25" s="11" t="s">
        <v>418</v>
      </c>
      <c r="C25" s="10" t="s">
        <v>394</v>
      </c>
      <c r="D25" s="10" t="s">
        <v>395</v>
      </c>
      <c r="E25" s="11"/>
    </row>
    <row r="26" customFormat="false" ht="15" hidden="false" customHeight="false" outlineLevel="0" collapsed="false">
      <c r="A26" s="12" t="s">
        <v>60</v>
      </c>
      <c r="B26" s="13" t="s">
        <v>419</v>
      </c>
      <c r="C26" s="12" t="s">
        <v>391</v>
      </c>
      <c r="D26" s="12" t="s">
        <v>392</v>
      </c>
      <c r="E26" s="13" t="s">
        <v>392</v>
      </c>
    </row>
    <row r="27" customFormat="false" ht="15" hidden="false" customHeight="false" outlineLevel="0" collapsed="false">
      <c r="A27" s="10" t="s">
        <v>60</v>
      </c>
      <c r="B27" s="11" t="s">
        <v>420</v>
      </c>
      <c r="C27" s="10" t="s">
        <v>394</v>
      </c>
      <c r="D27" s="10" t="s">
        <v>395</v>
      </c>
      <c r="E27" s="11"/>
    </row>
    <row r="28" customFormat="false" ht="15" hidden="false" customHeight="false" outlineLevel="0" collapsed="false">
      <c r="A28" s="12" t="s">
        <v>62</v>
      </c>
      <c r="B28" s="13" t="s">
        <v>421</v>
      </c>
      <c r="C28" s="12" t="s">
        <v>422</v>
      </c>
      <c r="D28" s="12" t="s">
        <v>392</v>
      </c>
      <c r="E28" s="13"/>
    </row>
    <row r="29" customFormat="false" ht="15" hidden="false" customHeight="false" outlineLevel="0" collapsed="false">
      <c r="A29" s="10" t="s">
        <v>62</v>
      </c>
      <c r="B29" s="11" t="s">
        <v>423</v>
      </c>
      <c r="C29" s="10" t="s">
        <v>402</v>
      </c>
      <c r="D29" s="10"/>
      <c r="E29" s="11" t="s">
        <v>392</v>
      </c>
    </row>
    <row r="30" customFormat="false" ht="15" hidden="false" customHeight="false" outlineLevel="0" collapsed="false">
      <c r="A30" s="12" t="s">
        <v>62</v>
      </c>
      <c r="B30" s="13" t="s">
        <v>424</v>
      </c>
      <c r="C30" s="12" t="s">
        <v>397</v>
      </c>
      <c r="D30" s="12" t="s">
        <v>392</v>
      </c>
      <c r="E30" s="13" t="s">
        <v>392</v>
      </c>
    </row>
    <row r="31" customFormat="false" ht="15" hidden="false" customHeight="false" outlineLevel="0" collapsed="false">
      <c r="A31" s="10" t="s">
        <v>62</v>
      </c>
      <c r="B31" s="11" t="s">
        <v>425</v>
      </c>
      <c r="C31" s="10" t="s">
        <v>394</v>
      </c>
      <c r="D31" s="10" t="s">
        <v>395</v>
      </c>
      <c r="E31" s="11"/>
    </row>
    <row r="32" customFormat="false" ht="15" hidden="false" customHeight="false" outlineLevel="0" collapsed="false">
      <c r="A32" s="12" t="s">
        <v>62</v>
      </c>
      <c r="B32" s="13" t="s">
        <v>426</v>
      </c>
      <c r="C32" s="12" t="s">
        <v>397</v>
      </c>
      <c r="D32" s="12" t="s">
        <v>427</v>
      </c>
      <c r="E32" s="13" t="s">
        <v>428</v>
      </c>
    </row>
    <row r="33" customFormat="false" ht="15" hidden="false" customHeight="false" outlineLevel="0" collapsed="false">
      <c r="A33" s="10" t="s">
        <v>64</v>
      </c>
      <c r="B33" s="11" t="s">
        <v>429</v>
      </c>
      <c r="C33" s="10" t="s">
        <v>391</v>
      </c>
      <c r="D33" s="10" t="s">
        <v>392</v>
      </c>
      <c r="E33" s="11" t="s">
        <v>392</v>
      </c>
    </row>
    <row r="34" customFormat="false" ht="15" hidden="false" customHeight="false" outlineLevel="0" collapsed="false">
      <c r="A34" s="12" t="s">
        <v>64</v>
      </c>
      <c r="B34" s="13" t="s">
        <v>430</v>
      </c>
      <c r="C34" s="12" t="s">
        <v>394</v>
      </c>
      <c r="D34" s="12" t="s">
        <v>395</v>
      </c>
      <c r="E34" s="13"/>
    </row>
    <row r="35" customFormat="false" ht="15" hidden="false" customHeight="false" outlineLevel="0" collapsed="false">
      <c r="A35" s="10" t="s">
        <v>66</v>
      </c>
      <c r="B35" s="11" t="s">
        <v>431</v>
      </c>
      <c r="C35" s="10" t="s">
        <v>394</v>
      </c>
      <c r="D35" s="10" t="s">
        <v>395</v>
      </c>
      <c r="E35" s="11"/>
    </row>
    <row r="36" customFormat="false" ht="15" hidden="false" customHeight="false" outlineLevel="0" collapsed="false">
      <c r="A36" s="12" t="s">
        <v>68</v>
      </c>
      <c r="B36" s="13" t="s">
        <v>432</v>
      </c>
      <c r="C36" s="12" t="s">
        <v>391</v>
      </c>
      <c r="D36" s="12" t="s">
        <v>392</v>
      </c>
      <c r="E36" s="13" t="s">
        <v>392</v>
      </c>
    </row>
    <row r="37" customFormat="false" ht="15" hidden="false" customHeight="false" outlineLevel="0" collapsed="false">
      <c r="A37" s="10" t="s">
        <v>68</v>
      </c>
      <c r="B37" s="11" t="s">
        <v>433</v>
      </c>
      <c r="C37" s="10" t="s">
        <v>394</v>
      </c>
      <c r="D37" s="10" t="s">
        <v>395</v>
      </c>
      <c r="E37" s="11"/>
    </row>
    <row r="38" customFormat="false" ht="15" hidden="false" customHeight="false" outlineLevel="0" collapsed="false">
      <c r="A38" s="12" t="s">
        <v>70</v>
      </c>
      <c r="B38" s="13" t="s">
        <v>434</v>
      </c>
      <c r="C38" s="12" t="s">
        <v>391</v>
      </c>
      <c r="D38" s="12" t="s">
        <v>392</v>
      </c>
      <c r="E38" s="13" t="s">
        <v>392</v>
      </c>
    </row>
    <row r="39" customFormat="false" ht="15" hidden="false" customHeight="false" outlineLevel="0" collapsed="false">
      <c r="A39" s="10" t="s">
        <v>70</v>
      </c>
      <c r="B39" s="11" t="s">
        <v>435</v>
      </c>
      <c r="C39" s="10" t="s">
        <v>394</v>
      </c>
      <c r="D39" s="10" t="s">
        <v>395</v>
      </c>
      <c r="E39" s="11"/>
    </row>
  </sheetData>
  <autoFilter ref="A4:E3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34"/>
    <col collapsed="false" customWidth="true" hidden="false" outlineLevel="0" max="3" min="3" style="0" width="14"/>
    <col collapsed="false" customWidth="true" hidden="false" outlineLevel="0" max="4" min="4" style="0" width="11"/>
    <col collapsed="false" customWidth="true" hidden="false" outlineLevel="0" max="5" min="5" style="0" width="74"/>
  </cols>
  <sheetData>
    <row r="1" customFormat="false" ht="17.35" hidden="false" customHeight="false" outlineLevel="0" collapsed="false">
      <c r="A1" s="8" t="s">
        <v>14</v>
      </c>
    </row>
    <row r="2" customFormat="false" ht="15" hidden="false" customHeight="false" outlineLevel="0" collapsed="false">
      <c r="A2" s="2" t="s">
        <v>436</v>
      </c>
    </row>
    <row r="4" customFormat="false" ht="25.5" hidden="false" customHeight="true" outlineLevel="0" collapsed="false">
      <c r="A4" s="9" t="s">
        <v>437</v>
      </c>
      <c r="B4" s="9" t="s">
        <v>438</v>
      </c>
      <c r="C4" s="9" t="s">
        <v>439</v>
      </c>
      <c r="D4" s="9" t="s">
        <v>440</v>
      </c>
      <c r="E4" s="9" t="s">
        <v>36</v>
      </c>
    </row>
    <row r="5" customFormat="false" ht="15" hidden="false" customHeight="false" outlineLevel="0" collapsed="false">
      <c r="A5" s="11" t="s">
        <v>441</v>
      </c>
      <c r="B5" s="10" t="s">
        <v>442</v>
      </c>
      <c r="C5" s="10" t="s">
        <v>85</v>
      </c>
      <c r="D5" s="10" t="s">
        <v>443</v>
      </c>
      <c r="E5" s="11" t="s">
        <v>444</v>
      </c>
    </row>
    <row r="6" customFormat="false" ht="15" hidden="false" customHeight="false" outlineLevel="0" collapsed="false">
      <c r="A6" s="13" t="s">
        <v>445</v>
      </c>
      <c r="B6" s="12"/>
      <c r="C6" s="12" t="s">
        <v>126</v>
      </c>
      <c r="D6" s="12" t="s">
        <v>446</v>
      </c>
      <c r="E6" s="13" t="s">
        <v>447</v>
      </c>
    </row>
    <row r="7" customFormat="false" ht="15" hidden="false" customHeight="false" outlineLevel="0" collapsed="false">
      <c r="A7" s="11" t="s">
        <v>448</v>
      </c>
      <c r="B7" s="10"/>
      <c r="C7" s="10" t="s">
        <v>82</v>
      </c>
      <c r="D7" s="10" t="s">
        <v>446</v>
      </c>
      <c r="E7" s="11" t="s">
        <v>449</v>
      </c>
    </row>
    <row r="8" customFormat="false" ht="15" hidden="false" customHeight="false" outlineLevel="0" collapsed="false">
      <c r="A8" s="13" t="s">
        <v>450</v>
      </c>
      <c r="B8" s="12" t="s">
        <v>451</v>
      </c>
      <c r="C8" s="12" t="s">
        <v>82</v>
      </c>
      <c r="D8" s="12" t="s">
        <v>446</v>
      </c>
      <c r="E8" s="13" t="s">
        <v>452</v>
      </c>
    </row>
    <row r="9" customFormat="false" ht="15" hidden="false" customHeight="false" outlineLevel="0" collapsed="false">
      <c r="A9" s="11" t="s">
        <v>453</v>
      </c>
      <c r="B9" s="10"/>
      <c r="C9" s="10" t="s">
        <v>454</v>
      </c>
      <c r="D9" s="10" t="s">
        <v>446</v>
      </c>
      <c r="E9" s="11" t="s">
        <v>455</v>
      </c>
    </row>
    <row r="10" customFormat="false" ht="15" hidden="false" customHeight="false" outlineLevel="0" collapsed="false">
      <c r="A10" s="13" t="s">
        <v>456</v>
      </c>
      <c r="B10" s="12"/>
      <c r="C10" s="12" t="s">
        <v>454</v>
      </c>
      <c r="D10" s="12" t="s">
        <v>446</v>
      </c>
      <c r="E10" s="13" t="s">
        <v>457</v>
      </c>
    </row>
    <row r="11" customFormat="false" ht="15" hidden="false" customHeight="false" outlineLevel="0" collapsed="false">
      <c r="A11" s="11" t="s">
        <v>458</v>
      </c>
      <c r="B11" s="10"/>
      <c r="C11" s="10" t="s">
        <v>454</v>
      </c>
      <c r="D11" s="10" t="s">
        <v>443</v>
      </c>
      <c r="E11" s="11" t="s">
        <v>459</v>
      </c>
    </row>
    <row r="12" customFormat="false" ht="15" hidden="false" customHeight="false" outlineLevel="0" collapsed="false">
      <c r="A12" s="13" t="s">
        <v>460</v>
      </c>
      <c r="B12" s="12"/>
      <c r="C12" s="12" t="s">
        <v>126</v>
      </c>
      <c r="D12" s="12" t="s">
        <v>446</v>
      </c>
      <c r="E12" s="13" t="s">
        <v>461</v>
      </c>
    </row>
    <row r="13" customFormat="false" ht="15" hidden="false" customHeight="false" outlineLevel="0" collapsed="false">
      <c r="A13" s="11" t="s">
        <v>462</v>
      </c>
      <c r="B13" s="10"/>
      <c r="C13" s="10" t="s">
        <v>126</v>
      </c>
      <c r="D13" s="10" t="s">
        <v>446</v>
      </c>
      <c r="E13" s="11" t="s">
        <v>463</v>
      </c>
    </row>
    <row r="14" customFormat="false" ht="15" hidden="false" customHeight="false" outlineLevel="0" collapsed="false">
      <c r="A14" s="13" t="s">
        <v>464</v>
      </c>
      <c r="B14" s="12"/>
      <c r="C14" s="12" t="s">
        <v>454</v>
      </c>
      <c r="D14" s="12" t="s">
        <v>443</v>
      </c>
      <c r="E14" s="13" t="s">
        <v>465</v>
      </c>
    </row>
    <row r="15" customFormat="false" ht="15" hidden="false" customHeight="false" outlineLevel="0" collapsed="false">
      <c r="A15" s="11" t="s">
        <v>466</v>
      </c>
      <c r="B15" s="10"/>
      <c r="C15" s="10" t="s">
        <v>467</v>
      </c>
      <c r="D15" s="10" t="s">
        <v>446</v>
      </c>
      <c r="E15" s="11" t="s">
        <v>468</v>
      </c>
    </row>
    <row r="16" customFormat="false" ht="15" hidden="false" customHeight="false" outlineLevel="0" collapsed="false">
      <c r="A16" s="13" t="s">
        <v>469</v>
      </c>
      <c r="B16" s="12" t="s">
        <v>470</v>
      </c>
      <c r="C16" s="12" t="s">
        <v>471</v>
      </c>
      <c r="D16" s="12" t="s">
        <v>446</v>
      </c>
      <c r="E16" s="13" t="s">
        <v>472</v>
      </c>
    </row>
    <row r="17" customFormat="false" ht="15" hidden="false" customHeight="false" outlineLevel="0" collapsed="false">
      <c r="A17" s="11" t="s">
        <v>473</v>
      </c>
      <c r="B17" s="10" t="s">
        <v>474</v>
      </c>
      <c r="C17" s="10" t="s">
        <v>471</v>
      </c>
      <c r="D17" s="10" t="s">
        <v>446</v>
      </c>
      <c r="E17" s="11" t="s">
        <v>475</v>
      </c>
    </row>
    <row r="18" customFormat="false" ht="15" hidden="false" customHeight="false" outlineLevel="0" collapsed="false">
      <c r="A18" s="13" t="s">
        <v>476</v>
      </c>
      <c r="B18" s="12"/>
      <c r="C18" s="12" t="s">
        <v>471</v>
      </c>
      <c r="D18" s="12" t="s">
        <v>446</v>
      </c>
      <c r="E18" s="13" t="s">
        <v>477</v>
      </c>
    </row>
    <row r="21" customFormat="false" ht="15" hidden="false" customHeight="false" outlineLevel="0" collapsed="false">
      <c r="A21" s="6" t="s">
        <v>15</v>
      </c>
    </row>
    <row r="22" customFormat="false" ht="15" hidden="false" customHeight="false" outlineLevel="0" collapsed="false">
      <c r="A22" s="14" t="s">
        <v>76</v>
      </c>
      <c r="B22" s="14" t="s">
        <v>478</v>
      </c>
      <c r="C22" s="14" t="s">
        <v>479</v>
      </c>
      <c r="D22" s="14" t="s">
        <v>437</v>
      </c>
    </row>
    <row r="23" customFormat="false" ht="32.8" hidden="false" customHeight="false" outlineLevel="0" collapsed="false">
      <c r="A23" s="11" t="s">
        <v>46</v>
      </c>
      <c r="B23" s="11" t="s">
        <v>480</v>
      </c>
      <c r="C23" s="11" t="s">
        <v>481</v>
      </c>
      <c r="D23" s="11" t="s">
        <v>458</v>
      </c>
    </row>
    <row r="24" customFormat="false" ht="32.8" hidden="false" customHeight="false" outlineLevel="0" collapsed="false">
      <c r="A24" s="11" t="s">
        <v>46</v>
      </c>
      <c r="B24" s="11" t="s">
        <v>482</v>
      </c>
      <c r="C24" s="11" t="s">
        <v>483</v>
      </c>
      <c r="D24" s="11" t="s">
        <v>456</v>
      </c>
    </row>
    <row r="25" customFormat="false" ht="32.8" hidden="false" customHeight="false" outlineLevel="0" collapsed="false">
      <c r="A25" s="11" t="s">
        <v>50</v>
      </c>
      <c r="B25" s="11" t="s">
        <v>484</v>
      </c>
      <c r="C25" s="11" t="s">
        <v>485</v>
      </c>
      <c r="D25" s="11" t="s">
        <v>464</v>
      </c>
    </row>
  </sheetData>
  <autoFilter ref="A4:E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3" min="3" style="0" width="84"/>
    <col collapsed="false" customWidth="true" hidden="false" outlineLevel="0" max="4" min="4" style="0" width="34"/>
  </cols>
  <sheetData>
    <row r="1" customFormat="false" ht="17.35" hidden="false" customHeight="false" outlineLevel="0" collapsed="false">
      <c r="A1" s="8" t="s">
        <v>486</v>
      </c>
    </row>
    <row r="2" customFormat="false" ht="15" hidden="false" customHeight="false" outlineLevel="0" collapsed="false">
      <c r="A2" s="2" t="s">
        <v>487</v>
      </c>
    </row>
    <row r="4" customFormat="false" ht="25.5" hidden="false" customHeight="true" outlineLevel="0" collapsed="false">
      <c r="A4" s="9" t="s">
        <v>76</v>
      </c>
      <c r="B4" s="9" t="s">
        <v>77</v>
      </c>
      <c r="C4" s="9" t="s">
        <v>488</v>
      </c>
      <c r="D4" s="9" t="s">
        <v>489</v>
      </c>
    </row>
    <row r="5" customFormat="false" ht="15" hidden="false" customHeight="false" outlineLevel="0" collapsed="false">
      <c r="A5" s="10" t="s">
        <v>40</v>
      </c>
      <c r="B5" s="10" t="s">
        <v>108</v>
      </c>
      <c r="C5" s="11" t="s">
        <v>490</v>
      </c>
      <c r="D5" s="10" t="s">
        <v>491</v>
      </c>
    </row>
    <row r="6" customFormat="false" ht="15" hidden="false" customHeight="false" outlineLevel="0" collapsed="false">
      <c r="A6" s="12" t="s">
        <v>40</v>
      </c>
      <c r="B6" s="12" t="s">
        <v>133</v>
      </c>
      <c r="C6" s="13" t="s">
        <v>492</v>
      </c>
      <c r="D6" s="12" t="s">
        <v>491</v>
      </c>
    </row>
    <row r="7" customFormat="false" ht="15" hidden="false" customHeight="false" outlineLevel="0" collapsed="false">
      <c r="A7" s="10" t="s">
        <v>40</v>
      </c>
      <c r="B7" s="10" t="s">
        <v>113</v>
      </c>
      <c r="C7" s="11" t="s">
        <v>493</v>
      </c>
      <c r="D7" s="10" t="s">
        <v>494</v>
      </c>
    </row>
    <row r="8" customFormat="false" ht="15" hidden="false" customHeight="false" outlineLevel="0" collapsed="false">
      <c r="A8" s="12" t="s">
        <v>40</v>
      </c>
      <c r="B8" s="12" t="s">
        <v>123</v>
      </c>
      <c r="C8" s="13" t="s">
        <v>495</v>
      </c>
      <c r="D8" s="12" t="s">
        <v>496</v>
      </c>
    </row>
    <row r="9" customFormat="false" ht="15" hidden="false" customHeight="false" outlineLevel="0" collapsed="false">
      <c r="A9" s="10" t="s">
        <v>40</v>
      </c>
      <c r="B9" s="10" t="s">
        <v>129</v>
      </c>
      <c r="C9" s="11" t="s">
        <v>497</v>
      </c>
      <c r="D9" s="10" t="s">
        <v>496</v>
      </c>
    </row>
    <row r="10" customFormat="false" ht="15" hidden="false" customHeight="false" outlineLevel="0" collapsed="false">
      <c r="A10" s="12" t="s">
        <v>40</v>
      </c>
      <c r="B10" s="12" t="s">
        <v>132</v>
      </c>
      <c r="C10" s="13" t="s">
        <v>498</v>
      </c>
      <c r="D10" s="12" t="s">
        <v>499</v>
      </c>
    </row>
    <row r="11" customFormat="false" ht="15" hidden="false" customHeight="false" outlineLevel="0" collapsed="false">
      <c r="A11" s="10" t="s">
        <v>40</v>
      </c>
      <c r="B11" s="10" t="s">
        <v>122</v>
      </c>
      <c r="C11" s="11" t="s">
        <v>500</v>
      </c>
      <c r="D11" s="10" t="s">
        <v>501</v>
      </c>
    </row>
    <row r="12" customFormat="false" ht="15" hidden="false" customHeight="false" outlineLevel="0" collapsed="false">
      <c r="A12" s="12" t="s">
        <v>62</v>
      </c>
      <c r="B12" s="12" t="s">
        <v>203</v>
      </c>
      <c r="C12" s="13" t="s">
        <v>502</v>
      </c>
      <c r="D12" s="12" t="s">
        <v>491</v>
      </c>
    </row>
    <row r="13" customFormat="false" ht="15" hidden="false" customHeight="false" outlineLevel="0" collapsed="false">
      <c r="A13" s="10" t="s">
        <v>68</v>
      </c>
      <c r="B13" s="10" t="s">
        <v>166</v>
      </c>
      <c r="C13" s="11" t="s">
        <v>503</v>
      </c>
      <c r="D13" s="10" t="s">
        <v>491</v>
      </c>
    </row>
    <row r="14" customFormat="false" ht="15" hidden="false" customHeight="false" outlineLevel="0" collapsed="false">
      <c r="A14" s="12" t="s">
        <v>68</v>
      </c>
      <c r="B14" s="12" t="s">
        <v>219</v>
      </c>
      <c r="C14" s="13" t="s">
        <v>504</v>
      </c>
      <c r="D14" s="12" t="s">
        <v>491</v>
      </c>
    </row>
    <row r="15" customFormat="false" ht="15" hidden="false" customHeight="false" outlineLevel="0" collapsed="false">
      <c r="A15" s="10" t="s">
        <v>48</v>
      </c>
      <c r="B15" s="10" t="s">
        <v>166</v>
      </c>
      <c r="C15" s="11" t="s">
        <v>503</v>
      </c>
      <c r="D15" s="10" t="s">
        <v>505</v>
      </c>
    </row>
    <row r="16" customFormat="false" ht="15" hidden="false" customHeight="false" outlineLevel="0" collapsed="false">
      <c r="A16" s="12" t="s">
        <v>48</v>
      </c>
      <c r="B16" s="12" t="s">
        <v>168</v>
      </c>
      <c r="C16" s="13" t="s">
        <v>506</v>
      </c>
      <c r="D16" s="12" t="s">
        <v>507</v>
      </c>
    </row>
    <row r="17" customFormat="false" ht="15" hidden="false" customHeight="false" outlineLevel="0" collapsed="false">
      <c r="A17" s="10" t="s">
        <v>44</v>
      </c>
      <c r="B17" s="10" t="s">
        <v>108</v>
      </c>
      <c r="C17" s="11" t="s">
        <v>508</v>
      </c>
      <c r="D17" s="10" t="s">
        <v>491</v>
      </c>
    </row>
    <row r="18" customFormat="false" ht="15" hidden="false" customHeight="false" outlineLevel="0" collapsed="false">
      <c r="A18" s="12" t="s">
        <v>44</v>
      </c>
      <c r="B18" s="12" t="s">
        <v>140</v>
      </c>
      <c r="C18" s="13" t="s">
        <v>509</v>
      </c>
      <c r="D18" s="12" t="s">
        <v>491</v>
      </c>
    </row>
    <row r="19" customFormat="false" ht="15" hidden="false" customHeight="false" outlineLevel="0" collapsed="false">
      <c r="A19" s="10" t="s">
        <v>50</v>
      </c>
      <c r="B19" s="10" t="s">
        <v>108</v>
      </c>
      <c r="C19" s="11" t="s">
        <v>510</v>
      </c>
      <c r="D19" s="10" t="s">
        <v>491</v>
      </c>
    </row>
    <row r="20" customFormat="false" ht="15" hidden="false" customHeight="false" outlineLevel="0" collapsed="false">
      <c r="A20" s="12" t="s">
        <v>66</v>
      </c>
      <c r="B20" s="12" t="s">
        <v>108</v>
      </c>
      <c r="C20" s="13" t="s">
        <v>511</v>
      </c>
      <c r="D20" s="12" t="s">
        <v>491</v>
      </c>
    </row>
  </sheetData>
  <autoFilter ref="A4:D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10"/>
    <col collapsed="false" customWidth="true" hidden="false" outlineLevel="0" max="5" min="5" style="0" width="56"/>
  </cols>
  <sheetData>
    <row r="1" customFormat="false" ht="17.35" hidden="false" customHeight="false" outlineLevel="0" collapsed="false">
      <c r="A1" s="8" t="s">
        <v>512</v>
      </c>
    </row>
    <row r="2" customFormat="false" ht="15" hidden="false" customHeight="false" outlineLevel="0" collapsed="false">
      <c r="A2" s="2" t="s">
        <v>513</v>
      </c>
    </row>
    <row r="4" customFormat="false" ht="25.5" hidden="false" customHeight="true" outlineLevel="0" collapsed="false">
      <c r="A4" s="9" t="s">
        <v>514</v>
      </c>
      <c r="B4" s="9" t="s">
        <v>515</v>
      </c>
      <c r="C4" s="9" t="s">
        <v>516</v>
      </c>
      <c r="D4" s="9" t="s">
        <v>517</v>
      </c>
      <c r="E4" s="9" t="s">
        <v>387</v>
      </c>
    </row>
    <row r="5" customFormat="false" ht="15" hidden="false" customHeight="false" outlineLevel="0" collapsed="false">
      <c r="A5" s="10" t="s">
        <v>518</v>
      </c>
      <c r="B5" s="10" t="s">
        <v>519</v>
      </c>
      <c r="C5" s="10" t="s">
        <v>520</v>
      </c>
      <c r="D5" s="10" t="s">
        <v>521</v>
      </c>
      <c r="E5" s="11" t="s">
        <v>522</v>
      </c>
    </row>
    <row r="6" customFormat="false" ht="15" hidden="false" customHeight="false" outlineLevel="0" collapsed="false">
      <c r="A6" s="12" t="s">
        <v>523</v>
      </c>
      <c r="B6" s="12" t="s">
        <v>524</v>
      </c>
      <c r="C6" s="12" t="s">
        <v>525</v>
      </c>
      <c r="D6" s="12" t="s">
        <v>521</v>
      </c>
      <c r="E6" s="13" t="s">
        <v>526</v>
      </c>
    </row>
  </sheetData>
  <autoFilter ref="A4:E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2026-08-16T08:01:16Z</dcterms:created>
  <dc:creator>openpyxl</dc:creator>
  <dc:description/>
  <dc:language>en-US</dc:language>
  <cp:lastModifiedBy/>
  <dcterms:modified xsi:type="dcterms:W3CDTF">2026-08-16T08:01:16Z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